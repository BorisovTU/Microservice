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elkova\Desktop\КСУП\DEF-94698\"/>
    </mc:Choice>
  </mc:AlternateContent>
  <xr:revisionPtr revIDLastSave="0" documentId="13_ncr:1_{E481635A-70BC-4D86-9FB7-3E3EC791650E}" xr6:coauthVersionLast="36" xr6:coauthVersionMax="47" xr10:uidLastSave="{00000000-0000-0000-0000-000000000000}"/>
  <bookViews>
    <workbookView xWindow="12300" yWindow="2805" windowWidth="23025" windowHeight="13800" xr2:uid="{00000000-000D-0000-FFFF-FFFF00000000}"/>
  </bookViews>
  <sheets>
    <sheet name="АР-07-18" sheetId="7" r:id="rId1"/>
  </sheets>
  <definedNames>
    <definedName name="_xlnm._FilterDatabase" localSheetId="0" hidden="1">'АР-07-18'!$A$11:$BB$14</definedName>
    <definedName name="H1_PeriodCode">'АР-07-18'!$E$1</definedName>
    <definedName name="H1_PeriodTxt">'АР-07-18'!$C$5</definedName>
    <definedName name="H1_Year">'АР-07-18'!$C$1</definedName>
    <definedName name="H1_Операционист">'АР-07-18'!$D$10</definedName>
    <definedName name="N1_A1">'АР-07-18'!$B$13</definedName>
    <definedName name="N1_A10">'АР-07-18'!$K$13</definedName>
    <definedName name="N1_A11">'АР-07-18'!$L$13</definedName>
    <definedName name="N1_A12">'АР-07-18'!$M$13</definedName>
    <definedName name="N1_A12_1">'АР-07-18'!$N$13</definedName>
    <definedName name="N1_A13">'АР-07-18'!$O$13</definedName>
    <definedName name="N1_A14">'АР-07-18'!$P$13</definedName>
    <definedName name="N1_A15">'АР-07-18'!$Q$13</definedName>
    <definedName name="N1_A16">'АР-07-18'!$R$13</definedName>
    <definedName name="N1_A17">'АР-07-18'!$S$13</definedName>
    <definedName name="N1_A18">'АР-07-18'!$T$13</definedName>
    <definedName name="N1_A19">'АР-07-18'!$U$13</definedName>
    <definedName name="N1_A2">'АР-07-18'!$C$13</definedName>
    <definedName name="N1_A20">'АР-07-18'!$V$13</definedName>
    <definedName name="N1_A21">'АР-07-18'!$W$13</definedName>
    <definedName name="N1_A22">'АР-07-18'!$X$13</definedName>
    <definedName name="N1_A23">'АР-07-18'!$Y$13</definedName>
    <definedName name="N1_A24">'АР-07-18'!$Z$13</definedName>
    <definedName name="N1_A25">'АР-07-18'!$AA$13</definedName>
    <definedName name="N1_A26">'АР-07-18'!$AB$13</definedName>
    <definedName name="N1_A27">'АР-07-18'!$AC$13</definedName>
    <definedName name="N1_A28">'АР-07-18'!$AD$13</definedName>
    <definedName name="N1_A29">'АР-07-18'!$AE$13</definedName>
    <definedName name="N1_A3">'АР-07-18'!$D$13</definedName>
    <definedName name="N1_A30">'АР-07-18'!$AF$13</definedName>
    <definedName name="N1_A31">'АР-07-18'!$AG$13</definedName>
    <definedName name="N1_A32">'АР-07-18'!$AH$13</definedName>
    <definedName name="N1_A33">'АР-07-18'!$AI$13</definedName>
    <definedName name="N1_A34">'АР-07-18'!$AJ$13</definedName>
    <definedName name="N1_A35">'АР-07-18'!$AK$13</definedName>
    <definedName name="N1_A36">'АР-07-18'!$AL$13</definedName>
    <definedName name="N1_A37">'АР-07-18'!$AM$13</definedName>
    <definedName name="N1_A38">'АР-07-18'!$AN$13</definedName>
    <definedName name="N1_A39">'АР-07-18'!$AO$13</definedName>
    <definedName name="N1_A4">'АР-07-18'!$E$13</definedName>
    <definedName name="N1_A40">'АР-07-18'!$AP$13</definedName>
    <definedName name="N1_A41">'АР-07-18'!$AQ$13</definedName>
    <definedName name="N1_A42">'АР-07-18'!$AR$13</definedName>
    <definedName name="N1_A43">'АР-07-18'!$AS$13</definedName>
    <definedName name="N1_A44">'АР-07-18'!$AT$13</definedName>
    <definedName name="N1_A45">'АР-07-18'!$AU$13</definedName>
    <definedName name="N1_A46">'АР-07-18'!$AV$13</definedName>
    <definedName name="N1_A47">'АР-07-18'!$AW$13</definedName>
    <definedName name="N1_A48">'АР-07-18'!$AX$13</definedName>
    <definedName name="N1_A49">'АР-07-18'!$AY$13</definedName>
    <definedName name="N1_A5">'АР-07-18'!$F$13</definedName>
    <definedName name="N1_A6">'АР-07-18'!$G$13</definedName>
    <definedName name="N1_A7">'АР-07-18'!$H$13</definedName>
    <definedName name="N1_A8">'АР-07-18'!$I$13</definedName>
    <definedName name="N1_A9">'АР-07-18'!$J$13</definedName>
    <definedName name="N1_Dummy1">'АР-07-18'!$A$13</definedName>
    <definedName name="N1_Footer" localSheetId="0">'АР-07-18'!$A$14:$BB$14</definedName>
    <definedName name="N1_K_1">'АР-07-18'!$BB$13</definedName>
    <definedName name="N1_MainTable">'АР-07-18'!$A$13:$BB$13</definedName>
    <definedName name="N1_NU_1">'АР-07-18'!$AZ$13</definedName>
    <definedName name="N1_NU_2">'АР-07-18'!$BA$13</definedName>
    <definedName name="N1_RepHeader" localSheetId="0">'АР-07-18'!$B$1:$BB$12</definedName>
    <definedName name="N1_Операционист">'АР-07-18'!$D$10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8" i="7" l="1"/>
  <c r="AZ8" i="7"/>
  <c r="BB8" i="7" l="1"/>
</calcChain>
</file>

<file path=xl/sharedStrings.xml><?xml version="1.0" encoding="utf-8"?>
<sst xmlns="http://schemas.openxmlformats.org/spreadsheetml/2006/main" count="143" uniqueCount="141">
  <si>
    <t>&lt;A1&gt;</t>
  </si>
  <si>
    <t>&lt;A2&gt;</t>
  </si>
  <si>
    <t>&lt;A3&gt;</t>
  </si>
  <si>
    <t>&lt;A4&gt;</t>
  </si>
  <si>
    <t>&lt;A5&gt;</t>
  </si>
  <si>
    <t>&lt;A6&gt;</t>
  </si>
  <si>
    <t>&lt;A7&gt;</t>
  </si>
  <si>
    <t>&lt;A11&gt;</t>
  </si>
  <si>
    <t>&lt;A12&gt;</t>
  </si>
  <si>
    <t>&lt;A13&gt;</t>
  </si>
  <si>
    <t>&lt;A14&gt;</t>
  </si>
  <si>
    <t>&lt;A15&gt;</t>
  </si>
  <si>
    <t>&lt;A16&gt;</t>
  </si>
  <si>
    <t>&lt;A17&gt;</t>
  </si>
  <si>
    <t>&lt;A8&gt;</t>
  </si>
  <si>
    <t>&lt;A21&gt;</t>
  </si>
  <si>
    <t>&lt;A20&gt;</t>
  </si>
  <si>
    <t>&lt;A18&gt;</t>
  </si>
  <si>
    <t>&lt;A9&gt;</t>
  </si>
  <si>
    <t>&lt;A19&gt;</t>
  </si>
  <si>
    <t>КПП</t>
  </si>
  <si>
    <t>Код подразделения</t>
  </si>
  <si>
    <t>Серия и номер векселя</t>
  </si>
  <si>
    <t>Тип векселя</t>
  </si>
  <si>
    <t>Дата составления векселя</t>
  </si>
  <si>
    <t>Код валюты номинала</t>
  </si>
  <si>
    <t>Номинал векселя, в валюте номинала</t>
  </si>
  <si>
    <t>Признак эффективности платежа</t>
  </si>
  <si>
    <t>Дата погашения векселя в соответствии с условиями выпуска векселя</t>
  </si>
  <si>
    <t>Плановый срок обращения векселя, в днях</t>
  </si>
  <si>
    <t>Процентная ставка по условиям выпуска процентного векселя / расчетная ставка для дисконтного векселя, % годовых</t>
  </si>
  <si>
    <t>Базис начисления процентов (дисконта)</t>
  </si>
  <si>
    <t>Дата размещения векселя (дата привлечения денежных средств)</t>
  </si>
  <si>
    <t>Дата начала начисления %</t>
  </si>
  <si>
    <t>Цена размещения векселя, в валюте номинала</t>
  </si>
  <si>
    <t>Дисконт в соответствии с условиями размещения дисконтного векселя, в валюте номинала</t>
  </si>
  <si>
    <t>Курс валюты номинала, установленный Банком России на дату размещения векселя, в рублях</t>
  </si>
  <si>
    <t>Номинал векселя на дату размещения векселя, в рублях</t>
  </si>
  <si>
    <t>Цена размещения векселя, в рублях</t>
  </si>
  <si>
    <t>Дисконт в соответствии с условиями размещения дисконтного векселя, в рублях</t>
  </si>
  <si>
    <t xml:space="preserve">Дата фактического погашения (выкупа) векселя </t>
  </si>
  <si>
    <t>Цена погашения (выкупа) векселя, в валюте номинала</t>
  </si>
  <si>
    <t>Цена погашения (выкупа) векселя, в рублях</t>
  </si>
  <si>
    <t xml:space="preserve">Количество дней, за которые начислены проценты (дисконт) по состоянию на конец текущего отчетного (налогового) периода / дату погашения (выкупа) векселя, в днях </t>
  </si>
  <si>
    <t>Сумма расходов, учитываемая при налогообложении прибыли, - по состоянию на конец текущего отчетного (налогового) периода / дату погашения (выкупа) векселя, всего, в валюте номинала</t>
  </si>
  <si>
    <t>Курс валюты номинала, установленный Банком России на конец текущего отчетного (налогового) периода / дату погашения (выкупа) векселя, в рублях</t>
  </si>
  <si>
    <t>Сумма расходов, учитываемая при налогообложении прибыли, - по состоянию на конец текущего отчетного (налогового) периода / дату погашения (выкупа) векселя, всего, в рублях (наращенные)</t>
  </si>
  <si>
    <t>Сумма расходов в виде процентов, учтенная при налогообложении прибыли в предыдущих налоговых периодах, в рублях (предыдущие)</t>
  </si>
  <si>
    <t>Сумма расходов, учитываемая при налогообложении прибыли в текущем отчетном (налоговом) периоде, в рублях</t>
  </si>
  <si>
    <t>Сумма доходов, учитываемая при налогообложении прибыли в текущем отчетном (налоговом) периоде, в рублях</t>
  </si>
  <si>
    <t>Курсовая разница по векселям, не погашенным (не выкупленным) Банком по состоянию на конец предыдущего налогового периода, в рублях</t>
  </si>
  <si>
    <t>Курсовая разница по векселям, погашенным (выкупленным) Банком в текущем отчетном (налоговом) периоде, в рублях</t>
  </si>
  <si>
    <t>Курсовая разница по векселям, не погашенным (не выкупленным) Банком по состоянию на конец текущего отчетного (налогового) периода, в рублях</t>
  </si>
  <si>
    <t>Контрагент, который приобрел вексель</t>
  </si>
  <si>
    <t>ИНН контрагента, который приобрел вексель</t>
  </si>
  <si>
    <t>Контрагент, который предъявил вексель к платежу</t>
  </si>
  <si>
    <t>ИНН контрагента, который предъявил вексель к платежу</t>
  </si>
  <si>
    <t>Контрагент, который приобрел вексель (ВЗЛ)</t>
  </si>
  <si>
    <t>Количество дней в отчетном (налоговом) периоде - для ВЗЛ, который приобрел вексель</t>
  </si>
  <si>
    <t>Превышение фактической суммы расходов в виде процентов над суммой расходов, рассчитанной исходя из предельной ставки, в рублях</t>
  </si>
  <si>
    <t>Контрагент, который предъявил вексель к платежу (ВЗЛ)</t>
  </si>
  <si>
    <t>Количество дней в отчетном (налоговом) периоде - для ВЗЛ, который предъявил вексель к платежу</t>
  </si>
  <si>
    <t>Вид ставки для расчета предельной суммы расходов</t>
  </si>
  <si>
    <t>Размер ставки, % годовых</t>
  </si>
  <si>
    <t>Предельное значение ставки, % годовых</t>
  </si>
  <si>
    <t xml:space="preserve">Лицевой счет по учету номинальной стоимости выпущенного векселя (счет 523) </t>
  </si>
  <si>
    <t xml:space="preserve">Лицевой счет по учету обязательств по векселю с истекшим сроком обращения и (или) погашения (счет 52406) </t>
  </si>
  <si>
    <t>Лицевой счет по учету начисленных процентов по процентному векселю (счет 52501)</t>
  </si>
  <si>
    <t>Лицевой счет по учету начисленного дисконта по дисконтному векселю (счет 52503)</t>
  </si>
  <si>
    <t>Страна регистрации контрагента, который приобрел вексель</t>
  </si>
  <si>
    <t>Страна регистрации контрагента, который предъявил вексель к платежу</t>
  </si>
  <si>
    <t>&lt;A10&gt;</t>
  </si>
  <si>
    <t>&lt;A12_1&gt;</t>
  </si>
  <si>
    <t>&lt;A22&gt;</t>
  </si>
  <si>
    <t>&lt;A23&gt;</t>
  </si>
  <si>
    <t>&lt;A24&gt;</t>
  </si>
  <si>
    <t>&lt;A25&gt;</t>
  </si>
  <si>
    <t>&lt;A26&gt;</t>
  </si>
  <si>
    <t>&lt;A27&gt;</t>
  </si>
  <si>
    <t>&lt;A28&gt;</t>
  </si>
  <si>
    <t>&lt;A29&gt;</t>
  </si>
  <si>
    <t>&lt;A30&gt;</t>
  </si>
  <si>
    <t>&lt;A31&gt;</t>
  </si>
  <si>
    <t>&lt;A32&gt;</t>
  </si>
  <si>
    <t>&lt;A33&gt;</t>
  </si>
  <si>
    <t>&lt;A34&gt;</t>
  </si>
  <si>
    <t>&lt;A35&gt;</t>
  </si>
  <si>
    <t>&lt;A36&gt;</t>
  </si>
  <si>
    <t>&lt;A37&gt;</t>
  </si>
  <si>
    <t>&lt;A38&gt;</t>
  </si>
  <si>
    <t>&lt;A39&gt;</t>
  </si>
  <si>
    <t>&lt;A40&gt;</t>
  </si>
  <si>
    <t>&lt;A41&gt;</t>
  </si>
  <si>
    <t>&lt;A42&gt;</t>
  </si>
  <si>
    <t>&lt;A43&gt;</t>
  </si>
  <si>
    <t>&lt;A44&gt;</t>
  </si>
  <si>
    <t>&lt;A45&gt;</t>
  </si>
  <si>
    <t>&lt;A46&gt;</t>
  </si>
  <si>
    <t>&lt;A47&gt;</t>
  </si>
  <si>
    <t>&lt;A48&gt;</t>
  </si>
  <si>
    <t>&lt;A49&gt;</t>
  </si>
  <si>
    <t>12.1</t>
  </si>
  <si>
    <t>Год</t>
  </si>
  <si>
    <t>Период (код)</t>
  </si>
  <si>
    <t>Корректировка</t>
  </si>
  <si>
    <t>0</t>
  </si>
  <si>
    <t>Регистр (код)</t>
  </si>
  <si>
    <t>АР-07-18</t>
  </si>
  <si>
    <t>997950001</t>
  </si>
  <si>
    <t>ДУ (код)</t>
  </si>
  <si>
    <t>Банк</t>
  </si>
  <si>
    <t>Уровень</t>
  </si>
  <si>
    <t>1</t>
  </si>
  <si>
    <t>АО "Россельхозбанк"</t>
  </si>
  <si>
    <t>Аналитический регистр № АР-07-18</t>
  </si>
  <si>
    <t>Собственные векселя - доходы и расходы</t>
  </si>
  <si>
    <t xml:space="preserve">Период: </t>
  </si>
  <si>
    <t>Код НУ</t>
  </si>
  <si>
    <t>5-010200-АР-07-18/27</t>
  </si>
  <si>
    <t>2-110000-АР-07-18/28</t>
  </si>
  <si>
    <t>2-020000-АР-07-18/НУ-1</t>
  </si>
  <si>
    <t>5-020000-АР-07-18/НУ-2</t>
  </si>
  <si>
    <t>ИТОГО</t>
  </si>
  <si>
    <t>ФОРМУЛЫ &gt;&gt;</t>
  </si>
  <si>
    <t>S</t>
  </si>
  <si>
    <t>F</t>
  </si>
  <si>
    <t>N</t>
  </si>
  <si>
    <t>Регистр подготовил</t>
  </si>
  <si>
    <t>И.О. Фамилия</t>
  </si>
  <si>
    <t>ДОХОДЫ - Курсовая разница по векселям, погашенным (выкупленным) Банком в текущем периоде, в рублях</t>
  </si>
  <si>
    <t>РАСХОДЫ - Курсовая разница по векселям, погашенным (выкупленным) Банком в текущем периоде, в рублях</t>
  </si>
  <si>
    <t>КОНТРОЛЬ курсовой разницы</t>
  </si>
  <si>
    <t>НУ-1</t>
  </si>
  <si>
    <t>НУ-2</t>
  </si>
  <si>
    <t>К-1</t>
  </si>
  <si>
    <t>&lt;NU_1&gt;</t>
  </si>
  <si>
    <t>&lt;NU_2&gt;</t>
  </si>
  <si>
    <t>&lt;K_1&gt;</t>
  </si>
  <si>
    <t>&lt;Year&gt;</t>
  </si>
  <si>
    <t>&lt;code&gt;</t>
  </si>
  <si>
    <t>&lt;PeriodTxt&gt;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</si>
</sst>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000"/>
    <numFmt numFmtId="166" formatCode="dd\ mmm\ yy"/>
  </numFmts>
  <fonts count="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Narrow"/>
      <family val="2"/>
    </font>
    <font>
      <sz val="8"/>
      <color indexed="8"/>
      <name val="Courier New"/>
      <family val="3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 CYR"/>
      <family val="1"/>
      <charset val="204"/>
    </font>
    <font>
      <b/>
      <u/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 CYR"/>
      <charset val="204"/>
    </font>
    <font>
      <i/>
      <sz val="10"/>
      <color theme="1"/>
      <name val="Times New Roman"/>
      <family val="1"/>
      <charset val="204"/>
    </font>
    <font>
      <b/>
      <sz val="10"/>
      <color rgb="FFFFFF00"/>
      <name val="Times New Roman"/>
      <family val="1"/>
      <charset val="204"/>
    </font>
    <font>
      <i/>
      <sz val="10"/>
      <name val="Times New Roman CYR"/>
      <charset val="204"/>
    </font>
    <font>
      <sz val="10"/>
      <color rgb="FF7030A0"/>
      <name val="Arial Narrow"/>
      <family val="2"/>
      <charset val="204"/>
    </font>
    <font>
      <sz val="8"/>
      <name val="Arial Narrow"/>
      <family val="2"/>
      <charset val="204"/>
    </font>
    <font>
      <sz val="8"/>
      <color rgb="FF000000"/>
      <name val="Arial Narrow"/>
      <family val="2"/>
      <charset val="204"/>
    </font>
    <font>
      <sz val="8"/>
      <color indexed="8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BD99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99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1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/>
    <xf numFmtId="49" fontId="2" fillId="0" borderId="1" xfId="1" applyNumberFormat="1" applyFont="1" applyFill="1" applyBorder="1" applyAlignment="1">
      <alignment horizontal="center" vertical="top" wrapText="1"/>
    </xf>
    <xf numFmtId="49" fontId="2" fillId="0" borderId="1" xfId="1" applyNumberFormat="1" applyFont="1" applyFill="1" applyBorder="1" applyAlignment="1">
      <alignment horizontal="center" vertical="top"/>
    </xf>
    <xf numFmtId="0" fontId="0" fillId="3" borderId="0" xfId="0" applyFill="1"/>
    <xf numFmtId="1" fontId="2" fillId="0" borderId="1" xfId="1" applyNumberFormat="1" applyFont="1" applyFill="1" applyBorder="1" applyAlignment="1">
      <alignment horizontal="center" vertical="top"/>
    </xf>
    <xf numFmtId="14" fontId="2" fillId="0" borderId="1" xfId="1" applyNumberFormat="1" applyFont="1" applyFill="1" applyBorder="1" applyAlignment="1">
      <alignment horizontal="center" vertical="top"/>
    </xf>
    <xf numFmtId="14" fontId="2" fillId="0" borderId="1" xfId="0" applyNumberFormat="1" applyFont="1" applyFill="1" applyBorder="1" applyAlignment="1">
      <alignment horizontal="center" vertical="top" wrapText="1"/>
    </xf>
    <xf numFmtId="165" fontId="2" fillId="0" borderId="1" xfId="1" applyNumberFormat="1" applyFont="1" applyFill="1" applyBorder="1" applyAlignment="1">
      <alignment horizontal="center" vertical="top" wrapText="1"/>
    </xf>
    <xf numFmtId="4" fontId="2" fillId="0" borderId="1" xfId="1" applyNumberFormat="1" applyFont="1" applyFill="1" applyBorder="1" applyAlignment="1">
      <alignment horizontal="right" vertical="top"/>
    </xf>
    <xf numFmtId="0" fontId="5" fillId="0" borderId="0" xfId="2" applyFont="1" applyAlignment="1">
      <alignment vertical="top"/>
    </xf>
    <xf numFmtId="0" fontId="6" fillId="4" borderId="1" xfId="0" applyFont="1" applyFill="1" applyBorder="1"/>
    <xf numFmtId="0" fontId="7" fillId="5" borderId="1" xfId="0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0" fontId="8" fillId="0" borderId="0" xfId="2" applyFont="1" applyAlignment="1">
      <alignment vertical="top"/>
    </xf>
    <xf numFmtId="0" fontId="9" fillId="0" borderId="0" xfId="2" applyFont="1" applyAlignment="1">
      <alignment vertical="top"/>
    </xf>
    <xf numFmtId="0" fontId="10" fillId="0" borderId="0" xfId="2" applyFont="1" applyAlignment="1">
      <alignment vertical="top"/>
    </xf>
    <xf numFmtId="0" fontId="11" fillId="0" borderId="0" xfId="2" applyFont="1" applyAlignment="1">
      <alignment vertical="top"/>
    </xf>
    <xf numFmtId="0" fontId="12" fillId="0" borderId="0" xfId="2" applyFont="1" applyFill="1" applyBorder="1" applyAlignment="1">
      <alignment vertical="top"/>
    </xf>
    <xf numFmtId="0" fontId="13" fillId="0" borderId="0" xfId="0" applyFont="1"/>
    <xf numFmtId="0" fontId="14" fillId="0" borderId="0" xfId="2" applyFont="1" applyFill="1" applyBorder="1" applyAlignment="1">
      <alignment vertical="top" wrapText="1"/>
    </xf>
    <xf numFmtId="0" fontId="5" fillId="0" borderId="0" xfId="2" applyFont="1" applyAlignment="1">
      <alignment horizontal="center" vertical="top"/>
    </xf>
    <xf numFmtId="0" fontId="14" fillId="0" borderId="0" xfId="2" applyFont="1" applyFill="1" applyBorder="1" applyAlignment="1">
      <alignment vertical="top"/>
    </xf>
    <xf numFmtId="0" fontId="15" fillId="0" borderId="0" xfId="2" applyFont="1" applyFill="1" applyBorder="1" applyAlignment="1">
      <alignment vertical="top"/>
    </xf>
    <xf numFmtId="0" fontId="16" fillId="0" borderId="0" xfId="2" applyFont="1" applyFill="1" applyBorder="1" applyAlignment="1">
      <alignment horizontal="left" vertical="top"/>
    </xf>
    <xf numFmtId="0" fontId="14" fillId="0" borderId="0" xfId="2" applyFont="1" applyFill="1" applyBorder="1" applyAlignment="1">
      <alignment horizontal="center" vertical="top"/>
    </xf>
    <xf numFmtId="0" fontId="17" fillId="0" borderId="0" xfId="2" applyFont="1" applyFill="1" applyBorder="1" applyAlignment="1">
      <alignment horizontal="left" vertical="top"/>
    </xf>
    <xf numFmtId="0" fontId="18" fillId="0" borderId="0" xfId="2" applyFont="1" applyFill="1" applyBorder="1" applyAlignment="1">
      <alignment horizontal="left" vertical="top"/>
    </xf>
    <xf numFmtId="0" fontId="12" fillId="0" borderId="0" xfId="2" applyFont="1" applyFill="1" applyBorder="1" applyAlignment="1">
      <alignment vertical="top" wrapText="1"/>
    </xf>
    <xf numFmtId="0" fontId="18" fillId="0" borderId="0" xfId="2" applyFont="1" applyFill="1" applyBorder="1" applyAlignment="1">
      <alignment horizontal="center" vertical="top" wrapText="1"/>
    </xf>
    <xf numFmtId="0" fontId="19" fillId="0" borderId="0" xfId="2" applyFont="1" applyFill="1" applyBorder="1" applyAlignment="1">
      <alignment horizontal="center" vertical="top" wrapText="1"/>
    </xf>
    <xf numFmtId="4" fontId="12" fillId="0" borderId="0" xfId="2" applyNumberFormat="1" applyFont="1" applyFill="1" applyBorder="1" applyAlignment="1">
      <alignment vertical="top"/>
    </xf>
    <xf numFmtId="0" fontId="12" fillId="0" borderId="0" xfId="2" applyFont="1" applyFill="1" applyBorder="1" applyAlignment="1">
      <alignment horizontal="right" vertical="center"/>
    </xf>
    <xf numFmtId="0" fontId="18" fillId="0" borderId="1" xfId="2" applyFont="1" applyFill="1" applyBorder="1" applyAlignment="1">
      <alignment horizontal="center" vertical="center"/>
    </xf>
    <xf numFmtId="166" fontId="12" fillId="0" borderId="0" xfId="2" applyNumberFormat="1" applyFont="1" applyFill="1" applyBorder="1" applyAlignment="1">
      <alignment vertical="top" wrapText="1"/>
    </xf>
    <xf numFmtId="0" fontId="12" fillId="0" borderId="0" xfId="2" applyFont="1" applyFill="1" applyBorder="1" applyAlignment="1">
      <alignment horizontal="center" vertical="top"/>
    </xf>
    <xf numFmtId="0" fontId="12" fillId="0" borderId="0" xfId="2" applyFont="1" applyAlignment="1">
      <alignment horizontal="center" vertical="top"/>
    </xf>
    <xf numFmtId="0" fontId="20" fillId="0" borderId="0" xfId="2" applyFont="1" applyFill="1" applyBorder="1" applyAlignment="1">
      <alignment horizontal="left" vertical="top" wrapText="1"/>
    </xf>
    <xf numFmtId="0" fontId="5" fillId="0" borderId="0" xfId="2" applyFont="1" applyFill="1" applyBorder="1" applyAlignment="1">
      <alignment horizontal="center" vertical="top" wrapText="1"/>
    </xf>
    <xf numFmtId="0" fontId="6" fillId="7" borderId="2" xfId="3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10" fillId="0" borderId="0" xfId="2" applyFont="1" applyAlignment="1">
      <alignment horizontal="center" vertical="top"/>
    </xf>
    <xf numFmtId="0" fontId="19" fillId="0" borderId="0" xfId="2" applyFont="1" applyBorder="1" applyAlignment="1">
      <alignment horizontal="left" vertical="top"/>
    </xf>
    <xf numFmtId="0" fontId="10" fillId="0" borderId="0" xfId="2" applyFont="1" applyBorder="1" applyAlignment="1">
      <alignment horizontal="center" vertical="top"/>
    </xf>
    <xf numFmtId="4" fontId="18" fillId="0" borderId="1" xfId="0" applyNumberFormat="1" applyFont="1" applyFill="1" applyBorder="1" applyAlignment="1">
      <alignment horizontal="right" vertical="center"/>
    </xf>
    <xf numFmtId="0" fontId="10" fillId="0" borderId="3" xfId="2" applyFont="1" applyBorder="1" applyAlignment="1">
      <alignment horizontal="center" vertical="top"/>
    </xf>
    <xf numFmtId="0" fontId="10" fillId="0" borderId="4" xfId="2" applyFont="1" applyBorder="1" applyAlignment="1">
      <alignment horizontal="center" vertical="top"/>
    </xf>
    <xf numFmtId="0" fontId="5" fillId="0" borderId="4" xfId="2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/>
    </xf>
    <xf numFmtId="1" fontId="23" fillId="8" borderId="1" xfId="2" applyNumberFormat="1" applyFont="1" applyFill="1" applyBorder="1" applyAlignment="1">
      <alignment horizontal="center" vertical="center"/>
    </xf>
    <xf numFmtId="1" fontId="23" fillId="8" borderId="1" xfId="2" applyNumberFormat="1" applyFont="1" applyFill="1" applyBorder="1" applyAlignment="1">
      <alignment horizontal="center" vertical="top"/>
    </xf>
    <xf numFmtId="1" fontId="11" fillId="9" borderId="1" xfId="2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horizontal="right"/>
    </xf>
    <xf numFmtId="4" fontId="3" fillId="0" borderId="1" xfId="0" applyNumberFormat="1" applyFont="1" applyFill="1" applyBorder="1" applyAlignment="1">
      <alignment horizontal="right" vertical="top"/>
    </xf>
    <xf numFmtId="0" fontId="25" fillId="0" borderId="0" xfId="2" applyFont="1" applyAlignment="1">
      <alignment horizontal="center" vertical="top"/>
    </xf>
    <xf numFmtId="0" fontId="25" fillId="0" borderId="0" xfId="2" applyFont="1" applyBorder="1" applyAlignment="1">
      <alignment horizontal="left" vertical="top"/>
    </xf>
    <xf numFmtId="0" fontId="25" fillId="0" borderId="0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16" fillId="0" borderId="0" xfId="0" applyFont="1" applyAlignment="1">
      <alignment vertical="top"/>
    </xf>
    <xf numFmtId="0" fontId="8" fillId="0" borderId="0" xfId="2" applyFont="1" applyFill="1" applyAlignment="1">
      <alignment vertical="top"/>
    </xf>
    <xf numFmtId="0" fontId="26" fillId="10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4" fontId="27" fillId="0" borderId="1" xfId="0" applyNumberFormat="1" applyFont="1" applyFill="1" applyBorder="1" applyAlignment="1">
      <alignment horizontal="right" vertical="top"/>
    </xf>
    <xf numFmtId="1" fontId="23" fillId="12" borderId="1" xfId="2" applyNumberFormat="1" applyFont="1" applyFill="1" applyBorder="1" applyAlignment="1">
      <alignment horizontal="center" vertical="top"/>
    </xf>
    <xf numFmtId="4" fontId="28" fillId="0" borderId="1" xfId="0" applyNumberFormat="1" applyFont="1" applyBorder="1" applyAlignment="1">
      <alignment horizontal="right" vertical="top"/>
    </xf>
    <xf numFmtId="165" fontId="28" fillId="0" borderId="1" xfId="0" applyNumberFormat="1" applyFont="1" applyBorder="1" applyAlignment="1">
      <alignment horizontal="center" vertical="top"/>
    </xf>
    <xf numFmtId="14" fontId="28" fillId="0" borderId="1" xfId="0" applyNumberFormat="1" applyFont="1" applyBorder="1" applyAlignment="1">
      <alignment horizontal="center" vertical="top"/>
    </xf>
    <xf numFmtId="2" fontId="28" fillId="0" borderId="1" xfId="0" applyNumberFormat="1" applyFont="1" applyBorder="1" applyAlignment="1">
      <alignment horizontal="right" vertical="top"/>
    </xf>
    <xf numFmtId="49" fontId="28" fillId="0" borderId="1" xfId="0" applyNumberFormat="1" applyFont="1" applyBorder="1" applyAlignment="1">
      <alignment horizontal="center" vertical="top"/>
    </xf>
    <xf numFmtId="2" fontId="28" fillId="0" borderId="1" xfId="0" applyNumberFormat="1" applyFont="1" applyBorder="1" applyAlignment="1">
      <alignment horizontal="center" vertical="top"/>
    </xf>
    <xf numFmtId="0" fontId="14" fillId="0" borderId="0" xfId="0" applyFont="1" applyFill="1" applyBorder="1" applyAlignment="1">
      <alignment horizontal="right" vertical="top"/>
    </xf>
    <xf numFmtId="1" fontId="28" fillId="0" borderId="1" xfId="0" applyNumberFormat="1" applyFont="1" applyBorder="1" applyAlignment="1">
      <alignment horizontal="center" vertical="top"/>
    </xf>
  </cellXfs>
  <cellStyles count="4">
    <cellStyle name="Обычный" xfId="0" builtinId="0"/>
    <cellStyle name="Обычный_05-4 КО Б Росбанк 01" xfId="3" xr:uid="{00000000-0005-0000-0000-000001000000}"/>
    <cellStyle name="Обычный_Прикидка  сомнительные" xfId="2" xr:uid="{00000000-0005-0000-0000-000002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"/>
  <sheetViews>
    <sheetView tabSelected="1" zoomScaleNormal="100" workbookViewId="0">
      <selection activeCell="C6" sqref="C6"/>
    </sheetView>
  </sheetViews>
  <sheetFormatPr defaultRowHeight="12.75" outlineLevelRow="1" outlineLevelCol="1" x14ac:dyDescent="0.2"/>
  <cols>
    <col min="1" max="1" width="3.42578125" customWidth="1"/>
    <col min="2" max="2" width="17.28515625" customWidth="1"/>
    <col min="3" max="3" width="26.85546875" customWidth="1"/>
    <col min="4" max="5" width="11.140625" customWidth="1"/>
    <col min="6" max="6" width="10.85546875" customWidth="1"/>
    <col min="7" max="7" width="19.28515625" customWidth="1"/>
    <col min="8" max="8" width="8.85546875" customWidth="1"/>
    <col min="9" max="9" width="12.7109375" customWidth="1"/>
    <col min="10" max="10" width="9.140625" customWidth="1"/>
    <col min="11" max="11" width="14.85546875" style="2" customWidth="1"/>
    <col min="12" max="12" width="10.85546875" style="2" customWidth="1"/>
    <col min="13" max="13" width="13.28515625" customWidth="1"/>
    <col min="14" max="14" width="10.85546875" customWidth="1"/>
    <col min="15" max="15" width="20.7109375" customWidth="1"/>
    <col min="16" max="16" width="18.42578125" customWidth="1"/>
    <col min="17" max="17" width="12.85546875" customWidth="1"/>
    <col min="18" max="18" width="19.42578125" customWidth="1"/>
    <col min="19" max="20" width="20.7109375" customWidth="1"/>
    <col min="21" max="21" width="14.28515625" customWidth="1"/>
    <col min="22" max="22" width="19.140625" customWidth="1"/>
    <col min="23" max="24" width="20.7109375" customWidth="1"/>
    <col min="25" max="25" width="23" customWidth="1"/>
    <col min="26" max="26" width="18.5703125" customWidth="1"/>
    <col min="27" max="27" width="23.42578125" customWidth="1"/>
    <col min="28" max="28" width="18.42578125" customWidth="1"/>
    <col min="29" max="29" width="18.5703125" customWidth="1"/>
    <col min="30" max="30" width="16.5703125" customWidth="1"/>
    <col min="31" max="31" width="21.140625" customWidth="1"/>
    <col min="32" max="32" width="18.140625" customWidth="1"/>
    <col min="33" max="33" width="19" customWidth="1"/>
    <col min="34" max="34" width="26.85546875" customWidth="1" outlineLevel="1"/>
    <col min="35" max="35" width="10.85546875" customWidth="1" outlineLevel="1"/>
    <col min="36" max="36" width="12.42578125" customWidth="1" outlineLevel="1"/>
    <col min="37" max="37" width="22.140625" customWidth="1" outlineLevel="1"/>
    <col min="38" max="38" width="11.140625" customWidth="1" outlineLevel="1"/>
    <col min="39" max="39" width="14.42578125" customWidth="1" outlineLevel="1"/>
    <col min="40" max="40" width="17.42578125" customWidth="1" outlineLevel="1"/>
    <col min="41" max="41" width="13.7109375" customWidth="1" outlineLevel="1"/>
    <col min="42" max="42" width="18" customWidth="1" outlineLevel="1"/>
    <col min="43" max="43" width="14.7109375" customWidth="1" outlineLevel="1"/>
    <col min="44" max="44" width="15.85546875" customWidth="1" outlineLevel="1"/>
    <col min="45" max="45" width="14.42578125" customWidth="1" outlineLevel="1"/>
    <col min="46" max="47" width="9.140625" customWidth="1" outlineLevel="1"/>
    <col min="48" max="51" width="21.42578125" customWidth="1" outlineLevel="1"/>
    <col min="52" max="53" width="20.7109375" customWidth="1"/>
    <col min="54" max="54" width="16.5703125" customWidth="1"/>
  </cols>
  <sheetData>
    <row r="1" spans="1:54" x14ac:dyDescent="0.2">
      <c r="A1" s="12"/>
      <c r="B1" s="13" t="s">
        <v>102</v>
      </c>
      <c r="C1" s="14" t="s">
        <v>138</v>
      </c>
      <c r="D1" s="13" t="s">
        <v>103</v>
      </c>
      <c r="E1" s="15" t="s">
        <v>139</v>
      </c>
      <c r="F1" s="13" t="s">
        <v>104</v>
      </c>
      <c r="G1" s="15" t="s">
        <v>105</v>
      </c>
      <c r="H1" s="13" t="s">
        <v>106</v>
      </c>
      <c r="I1" s="16" t="s">
        <v>107</v>
      </c>
      <c r="J1" s="13" t="s">
        <v>20</v>
      </c>
      <c r="K1" s="15" t="s">
        <v>108</v>
      </c>
      <c r="L1" s="13" t="s">
        <v>109</v>
      </c>
      <c r="M1" s="15" t="s">
        <v>110</v>
      </c>
      <c r="N1" s="13" t="s">
        <v>111</v>
      </c>
      <c r="O1" s="15" t="s">
        <v>112</v>
      </c>
      <c r="P1" s="17"/>
      <c r="Q1" s="18"/>
      <c r="R1" s="12"/>
      <c r="S1" s="17"/>
      <c r="T1" s="19"/>
      <c r="U1" s="19"/>
      <c r="V1" s="19"/>
      <c r="W1" s="12"/>
      <c r="X1" s="12"/>
      <c r="Y1" s="20"/>
      <c r="Z1" s="20"/>
      <c r="AA1" s="17"/>
      <c r="AB1" s="17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</row>
    <row r="2" spans="1:54" ht="18.75" x14ac:dyDescent="0.3">
      <c r="A2" s="21"/>
      <c r="B2" s="22" t="s">
        <v>113</v>
      </c>
      <c r="C2" s="21"/>
      <c r="D2" s="23"/>
      <c r="E2" s="23"/>
      <c r="F2" s="24"/>
      <c r="G2" s="24"/>
      <c r="H2" s="24"/>
      <c r="I2" s="24"/>
      <c r="J2" s="24"/>
      <c r="K2" s="24"/>
      <c r="L2" s="24"/>
      <c r="M2" s="25"/>
      <c r="N2" s="26"/>
      <c r="O2" s="25"/>
      <c r="P2" s="2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</row>
    <row r="3" spans="1:54" ht="15.75" x14ac:dyDescent="0.2">
      <c r="A3" s="21"/>
      <c r="B3" s="27" t="s">
        <v>114</v>
      </c>
      <c r="C3" s="21"/>
      <c r="D3" s="23"/>
      <c r="E3" s="23"/>
      <c r="F3" s="28"/>
      <c r="G3" s="28"/>
      <c r="H3" s="24"/>
      <c r="I3" s="24"/>
      <c r="J3" s="24"/>
      <c r="K3" s="24"/>
      <c r="L3" s="24"/>
      <c r="M3" s="25"/>
      <c r="N3" s="26"/>
      <c r="O3" s="25"/>
      <c r="P3" s="2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</row>
    <row r="4" spans="1:54" ht="18.75" x14ac:dyDescent="0.2">
      <c r="A4" s="21"/>
      <c r="B4" s="29" t="s">
        <v>115</v>
      </c>
      <c r="C4" s="30"/>
      <c r="D4" s="31"/>
      <c r="E4" s="31"/>
      <c r="F4" s="32"/>
      <c r="G4" s="32"/>
      <c r="H4" s="24"/>
      <c r="I4" s="24"/>
      <c r="J4" s="24"/>
      <c r="K4" s="24"/>
      <c r="L4" s="24"/>
      <c r="M4" s="32"/>
      <c r="N4" s="33"/>
      <c r="O4" s="32"/>
      <c r="P4" s="33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34"/>
      <c r="BA4" s="21"/>
      <c r="BB4" s="21"/>
    </row>
    <row r="5" spans="1:54" ht="15.75" x14ac:dyDescent="0.2">
      <c r="A5" s="21"/>
      <c r="B5" s="35" t="s">
        <v>116</v>
      </c>
      <c r="C5" s="36" t="s">
        <v>140</v>
      </c>
      <c r="D5" s="21"/>
      <c r="E5" s="37"/>
      <c r="F5" s="38"/>
      <c r="G5" s="38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</row>
    <row r="6" spans="1:54" x14ac:dyDescent="0.2">
      <c r="A6" s="17"/>
      <c r="B6" s="40" t="s">
        <v>117</v>
      </c>
      <c r="C6" s="41"/>
      <c r="D6" s="41"/>
      <c r="E6" s="41"/>
      <c r="F6" s="41"/>
      <c r="G6" s="41"/>
      <c r="H6" s="41"/>
      <c r="I6" s="41"/>
      <c r="J6" s="41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42" t="s">
        <v>118</v>
      </c>
      <c r="AD6" s="42" t="s">
        <v>119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43" t="s">
        <v>120</v>
      </c>
      <c r="BA6" s="43" t="s">
        <v>121</v>
      </c>
      <c r="BB6" s="17"/>
    </row>
    <row r="7" spans="1:54" ht="15.75" x14ac:dyDescent="0.2">
      <c r="A7" s="44"/>
      <c r="B7" s="45" t="s">
        <v>122</v>
      </c>
      <c r="C7" s="46"/>
      <c r="D7" s="46"/>
      <c r="E7" s="46"/>
      <c r="F7" s="46"/>
      <c r="G7" s="47">
        <v>0</v>
      </c>
      <c r="H7" s="48"/>
      <c r="I7" s="49"/>
      <c r="J7" s="49"/>
      <c r="K7" s="50"/>
      <c r="L7" s="50"/>
      <c r="M7" s="50"/>
      <c r="N7" s="50"/>
      <c r="O7" s="47">
        <v>0</v>
      </c>
      <c r="P7" s="47">
        <v>0</v>
      </c>
      <c r="Q7" s="50"/>
      <c r="R7" s="47">
        <v>0</v>
      </c>
      <c r="S7" s="47">
        <v>0</v>
      </c>
      <c r="T7" s="47">
        <v>0</v>
      </c>
      <c r="U7" s="50"/>
      <c r="V7" s="47">
        <v>0</v>
      </c>
      <c r="W7" s="47">
        <v>0</v>
      </c>
      <c r="X7" s="50"/>
      <c r="Y7" s="47">
        <v>0</v>
      </c>
      <c r="Z7" s="50"/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49"/>
      <c r="AI7" s="49"/>
      <c r="AJ7" s="49"/>
      <c r="AK7" s="49"/>
      <c r="AL7" s="49"/>
      <c r="AM7" s="49"/>
      <c r="AN7" s="49"/>
      <c r="AO7" s="49"/>
      <c r="AP7" s="47">
        <v>0</v>
      </c>
      <c r="AQ7" s="49"/>
      <c r="AR7" s="49"/>
      <c r="AS7" s="49"/>
      <c r="AT7" s="49"/>
      <c r="AU7" s="49"/>
      <c r="AV7" s="49"/>
      <c r="AW7" s="49"/>
      <c r="AX7" s="49"/>
      <c r="AY7" s="49"/>
      <c r="AZ7" s="47">
        <v>0</v>
      </c>
      <c r="BA7" s="47">
        <v>0</v>
      </c>
      <c r="BB7" s="47">
        <v>0</v>
      </c>
    </row>
    <row r="8" spans="1:54" outlineLevel="1" x14ac:dyDescent="0.2">
      <c r="A8" s="44"/>
      <c r="B8" s="51" t="s">
        <v>123</v>
      </c>
      <c r="C8" s="52" t="s">
        <v>124</v>
      </c>
      <c r="D8" s="53" t="s">
        <v>125</v>
      </c>
      <c r="E8" s="54" t="s">
        <v>126</v>
      </c>
      <c r="G8" s="3"/>
      <c r="H8" s="55"/>
      <c r="I8" s="3"/>
      <c r="J8" s="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Z8" s="56">
        <f>IF(AF8&lt;0,-AF8,0)</f>
        <v>0</v>
      </c>
      <c r="BA8" s="56">
        <f>IF(AF8&gt;0,AF8,0)</f>
        <v>0</v>
      </c>
      <c r="BB8" s="56">
        <f>AF8-(BA8-AZ8)</f>
        <v>0</v>
      </c>
    </row>
    <row r="9" spans="1:54" outlineLevel="1" x14ac:dyDescent="0.2">
      <c r="A9" s="57"/>
      <c r="B9" s="58"/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60"/>
      <c r="AW9" s="60"/>
      <c r="AX9" s="60"/>
      <c r="AY9" s="60"/>
      <c r="AZ9" s="59"/>
      <c r="BA9" s="59"/>
      <c r="BB9" s="59"/>
    </row>
    <row r="10" spans="1:54" ht="15.75" x14ac:dyDescent="0.2">
      <c r="A10" s="17"/>
      <c r="B10" s="61" t="s">
        <v>127</v>
      </c>
      <c r="C10" s="46"/>
      <c r="D10" s="76" t="s">
        <v>128</v>
      </c>
      <c r="K10"/>
      <c r="L10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89.25" x14ac:dyDescent="0.2">
      <c r="A11" s="62"/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 s="1" t="s">
        <v>35</v>
      </c>
      <c r="Q11" s="1" t="s">
        <v>36</v>
      </c>
      <c r="R11" s="1" t="s">
        <v>37</v>
      </c>
      <c r="S11" s="1" t="s">
        <v>38</v>
      </c>
      <c r="T11" s="1" t="s">
        <v>39</v>
      </c>
      <c r="U11" s="1" t="s">
        <v>40</v>
      </c>
      <c r="V11" s="1" t="s">
        <v>41</v>
      </c>
      <c r="W11" s="1" t="s">
        <v>42</v>
      </c>
      <c r="X11" s="1" t="s">
        <v>43</v>
      </c>
      <c r="Y11" s="1" t="s">
        <v>44</v>
      </c>
      <c r="Z11" s="1" t="s">
        <v>45</v>
      </c>
      <c r="AA11" s="1" t="s">
        <v>46</v>
      </c>
      <c r="AB11" s="1" t="s">
        <v>47</v>
      </c>
      <c r="AC11" s="1" t="s">
        <v>48</v>
      </c>
      <c r="AD11" s="1" t="s">
        <v>49</v>
      </c>
      <c r="AE11" s="1" t="s">
        <v>50</v>
      </c>
      <c r="AF11" s="1" t="s">
        <v>51</v>
      </c>
      <c r="AG11" s="1" t="s">
        <v>52</v>
      </c>
      <c r="AH11" s="1" t="s">
        <v>53</v>
      </c>
      <c r="AI11" s="1" t="s">
        <v>69</v>
      </c>
      <c r="AJ11" s="1" t="s">
        <v>54</v>
      </c>
      <c r="AK11" s="1" t="s">
        <v>55</v>
      </c>
      <c r="AL11" s="1" t="s">
        <v>70</v>
      </c>
      <c r="AM11" s="1" t="s">
        <v>56</v>
      </c>
      <c r="AN11" s="1" t="s">
        <v>57</v>
      </c>
      <c r="AO11" s="1" t="s">
        <v>58</v>
      </c>
      <c r="AP11" s="1" t="s">
        <v>59</v>
      </c>
      <c r="AQ11" s="1" t="s">
        <v>60</v>
      </c>
      <c r="AR11" s="1" t="s">
        <v>61</v>
      </c>
      <c r="AS11" s="1" t="s">
        <v>62</v>
      </c>
      <c r="AT11" s="1" t="s">
        <v>63</v>
      </c>
      <c r="AU11" s="1" t="s">
        <v>64</v>
      </c>
      <c r="AV11" s="1" t="s">
        <v>65</v>
      </c>
      <c r="AW11" s="1" t="s">
        <v>66</v>
      </c>
      <c r="AX11" s="1" t="s">
        <v>67</v>
      </c>
      <c r="AY11" s="1" t="s">
        <v>68</v>
      </c>
      <c r="AZ11" s="63" t="s">
        <v>129</v>
      </c>
      <c r="BA11" s="63" t="s">
        <v>130</v>
      </c>
      <c r="BB11" s="64" t="s">
        <v>131</v>
      </c>
    </row>
    <row r="12" spans="1:54" x14ac:dyDescent="0.2">
      <c r="A12" s="53" t="s">
        <v>124</v>
      </c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11</v>
      </c>
      <c r="M12" s="1">
        <v>12</v>
      </c>
      <c r="N12" s="65" t="s">
        <v>101</v>
      </c>
      <c r="O12" s="1">
        <v>13</v>
      </c>
      <c r="P12" s="1">
        <v>14</v>
      </c>
      <c r="Q12" s="1">
        <v>15</v>
      </c>
      <c r="R12" s="1">
        <v>16</v>
      </c>
      <c r="S12" s="1">
        <v>17</v>
      </c>
      <c r="T12" s="1">
        <v>18</v>
      </c>
      <c r="U12" s="1">
        <v>19</v>
      </c>
      <c r="V12" s="1">
        <v>20</v>
      </c>
      <c r="W12" s="1">
        <v>21</v>
      </c>
      <c r="X12" s="1">
        <v>22</v>
      </c>
      <c r="Y12" s="1">
        <v>23</v>
      </c>
      <c r="Z12" s="1">
        <v>24</v>
      </c>
      <c r="AA12" s="1">
        <v>25</v>
      </c>
      <c r="AB12" s="1">
        <v>26</v>
      </c>
      <c r="AC12" s="1">
        <v>27</v>
      </c>
      <c r="AD12" s="1">
        <v>28</v>
      </c>
      <c r="AE12" s="1">
        <v>29</v>
      </c>
      <c r="AF12" s="1">
        <v>30</v>
      </c>
      <c r="AG12" s="1">
        <v>31</v>
      </c>
      <c r="AH12" s="1">
        <v>32</v>
      </c>
      <c r="AI12" s="1">
        <v>33</v>
      </c>
      <c r="AJ12" s="1">
        <v>34</v>
      </c>
      <c r="AK12" s="1">
        <v>35</v>
      </c>
      <c r="AL12" s="1">
        <v>36</v>
      </c>
      <c r="AM12" s="1">
        <v>37</v>
      </c>
      <c r="AN12" s="1">
        <v>38</v>
      </c>
      <c r="AO12" s="1">
        <v>39</v>
      </c>
      <c r="AP12" s="1">
        <v>40</v>
      </c>
      <c r="AQ12" s="1">
        <v>41</v>
      </c>
      <c r="AR12" s="1">
        <v>42</v>
      </c>
      <c r="AS12" s="1">
        <v>43</v>
      </c>
      <c r="AT12" s="1">
        <v>44</v>
      </c>
      <c r="AU12" s="1">
        <v>45</v>
      </c>
      <c r="AV12" s="1">
        <v>46</v>
      </c>
      <c r="AW12" s="1">
        <v>47</v>
      </c>
      <c r="AX12" s="1">
        <v>48</v>
      </c>
      <c r="AY12" s="1">
        <v>49</v>
      </c>
      <c r="AZ12" s="66" t="s">
        <v>132</v>
      </c>
      <c r="BA12" s="66" t="s">
        <v>133</v>
      </c>
      <c r="BB12" s="67" t="s">
        <v>134</v>
      </c>
    </row>
    <row r="13" spans="1:54" s="6" customFormat="1" ht="15.75" customHeight="1" x14ac:dyDescent="0.2">
      <c r="B13" s="4" t="s">
        <v>0</v>
      </c>
      <c r="C13" s="4" t="s">
        <v>1</v>
      </c>
      <c r="D13" s="5" t="s">
        <v>2</v>
      </c>
      <c r="E13" s="8" t="s">
        <v>3</v>
      </c>
      <c r="F13" s="5" t="s">
        <v>4</v>
      </c>
      <c r="G13" s="11" t="s">
        <v>5</v>
      </c>
      <c r="H13" s="5" t="s">
        <v>6</v>
      </c>
      <c r="I13" s="9" t="s">
        <v>14</v>
      </c>
      <c r="J13" s="7" t="s">
        <v>18</v>
      </c>
      <c r="K13" s="10" t="s">
        <v>71</v>
      </c>
      <c r="L13" s="5" t="s">
        <v>7</v>
      </c>
      <c r="M13" s="8" t="s">
        <v>8</v>
      </c>
      <c r="N13" s="8" t="s">
        <v>72</v>
      </c>
      <c r="O13" s="11" t="s">
        <v>9</v>
      </c>
      <c r="P13" s="70" t="s">
        <v>10</v>
      </c>
      <c r="Q13" s="71" t="s">
        <v>11</v>
      </c>
      <c r="R13" s="70" t="s">
        <v>12</v>
      </c>
      <c r="S13" s="70" t="s">
        <v>13</v>
      </c>
      <c r="T13" s="70" t="s">
        <v>17</v>
      </c>
      <c r="U13" s="72" t="s">
        <v>19</v>
      </c>
      <c r="V13" s="73" t="s">
        <v>16</v>
      </c>
      <c r="W13" s="73" t="s">
        <v>15</v>
      </c>
      <c r="X13" s="77" t="s">
        <v>73</v>
      </c>
      <c r="Y13" s="70" t="s">
        <v>74</v>
      </c>
      <c r="Z13" s="71" t="s">
        <v>75</v>
      </c>
      <c r="AA13" s="70" t="s">
        <v>76</v>
      </c>
      <c r="AB13" s="70" t="s">
        <v>77</v>
      </c>
      <c r="AC13" s="70" t="s">
        <v>78</v>
      </c>
      <c r="AD13" s="70" t="s">
        <v>79</v>
      </c>
      <c r="AE13" s="70" t="s">
        <v>80</v>
      </c>
      <c r="AF13" s="70" t="s">
        <v>81</v>
      </c>
      <c r="AG13" s="70" t="s">
        <v>82</v>
      </c>
      <c r="AH13" s="74" t="s">
        <v>83</v>
      </c>
      <c r="AI13" s="74" t="s">
        <v>84</v>
      </c>
      <c r="AJ13" s="74" t="s">
        <v>85</v>
      </c>
      <c r="AK13" s="74" t="s">
        <v>86</v>
      </c>
      <c r="AL13" s="74" t="s">
        <v>87</v>
      </c>
      <c r="AM13" s="74" t="s">
        <v>88</v>
      </c>
      <c r="AN13" s="74" t="s">
        <v>89</v>
      </c>
      <c r="AO13" s="77" t="s">
        <v>90</v>
      </c>
      <c r="AP13" s="75" t="s">
        <v>91</v>
      </c>
      <c r="AQ13" s="74" t="s">
        <v>92</v>
      </c>
      <c r="AR13" s="77" t="s">
        <v>93</v>
      </c>
      <c r="AS13" s="74" t="s">
        <v>94</v>
      </c>
      <c r="AT13" s="71" t="s">
        <v>95</v>
      </c>
      <c r="AU13" s="71" t="s">
        <v>96</v>
      </c>
      <c r="AV13" s="74" t="s">
        <v>97</v>
      </c>
      <c r="AW13" s="74" t="s">
        <v>98</v>
      </c>
      <c r="AX13" s="74" t="s">
        <v>99</v>
      </c>
      <c r="AY13" s="74" t="s">
        <v>100</v>
      </c>
      <c r="AZ13" s="68" t="s">
        <v>135</v>
      </c>
      <c r="BA13" s="68" t="s">
        <v>136</v>
      </c>
      <c r="BB13" s="68" t="s">
        <v>137</v>
      </c>
    </row>
    <row r="14" spans="1:54" x14ac:dyDescent="0.2">
      <c r="A14" s="69" t="s">
        <v>125</v>
      </c>
      <c r="L14"/>
    </row>
    <row r="15" spans="1:54" x14ac:dyDescent="0.2">
      <c r="L15"/>
    </row>
    <row r="16" spans="1:54" x14ac:dyDescent="0.2">
      <c r="L16"/>
    </row>
    <row r="17" spans="12:12" x14ac:dyDescent="0.2">
      <c r="L17"/>
    </row>
    <row r="18" spans="12:12" x14ac:dyDescent="0.2">
      <c r="L18"/>
    </row>
    <row r="19" spans="12:12" x14ac:dyDescent="0.2">
      <c r="L19"/>
    </row>
    <row r="20" spans="12:12" x14ac:dyDescent="0.2">
      <c r="L20"/>
    </row>
    <row r="21" spans="12:12" x14ac:dyDescent="0.2">
      <c r="L21"/>
    </row>
    <row r="22" spans="12:12" x14ac:dyDescent="0.2">
      <c r="L22"/>
    </row>
  </sheetData>
  <dataConsolidate/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62</vt:i4>
      </vt:variant>
    </vt:vector>
  </HeadingPairs>
  <TitlesOfParts>
    <vt:vector size="63" baseType="lpstr">
      <vt:lpstr>АР-07-18</vt:lpstr>
      <vt:lpstr>H1_PeriodCode</vt:lpstr>
      <vt:lpstr>H1_PeriodTxt</vt:lpstr>
      <vt:lpstr>H1_Year</vt:lpstr>
      <vt:lpstr>H1_Операционист</vt:lpstr>
      <vt:lpstr>N1_A1</vt:lpstr>
      <vt:lpstr>N1_A10</vt:lpstr>
      <vt:lpstr>N1_A11</vt:lpstr>
      <vt:lpstr>N1_A12</vt:lpstr>
      <vt:lpstr>N1_A12_1</vt:lpstr>
      <vt:lpstr>N1_A13</vt:lpstr>
      <vt:lpstr>N1_A14</vt:lpstr>
      <vt:lpstr>N1_A15</vt:lpstr>
      <vt:lpstr>N1_A16</vt:lpstr>
      <vt:lpstr>N1_A17</vt:lpstr>
      <vt:lpstr>N1_A18</vt:lpstr>
      <vt:lpstr>N1_A19</vt:lpstr>
      <vt:lpstr>N1_A2</vt:lpstr>
      <vt:lpstr>N1_A20</vt:lpstr>
      <vt:lpstr>N1_A21</vt:lpstr>
      <vt:lpstr>N1_A22</vt:lpstr>
      <vt:lpstr>N1_A23</vt:lpstr>
      <vt:lpstr>N1_A24</vt:lpstr>
      <vt:lpstr>N1_A25</vt:lpstr>
      <vt:lpstr>N1_A26</vt:lpstr>
      <vt:lpstr>N1_A27</vt:lpstr>
      <vt:lpstr>N1_A28</vt:lpstr>
      <vt:lpstr>N1_A29</vt:lpstr>
      <vt:lpstr>N1_A3</vt:lpstr>
      <vt:lpstr>N1_A30</vt:lpstr>
      <vt:lpstr>N1_A31</vt:lpstr>
      <vt:lpstr>N1_A32</vt:lpstr>
      <vt:lpstr>N1_A33</vt:lpstr>
      <vt:lpstr>N1_A34</vt:lpstr>
      <vt:lpstr>N1_A35</vt:lpstr>
      <vt:lpstr>N1_A36</vt:lpstr>
      <vt:lpstr>N1_A37</vt:lpstr>
      <vt:lpstr>N1_A38</vt:lpstr>
      <vt:lpstr>N1_A39</vt:lpstr>
      <vt:lpstr>N1_A4</vt:lpstr>
      <vt:lpstr>N1_A40</vt:lpstr>
      <vt:lpstr>N1_A41</vt:lpstr>
      <vt:lpstr>N1_A42</vt:lpstr>
      <vt:lpstr>N1_A43</vt:lpstr>
      <vt:lpstr>N1_A44</vt:lpstr>
      <vt:lpstr>N1_A45</vt:lpstr>
      <vt:lpstr>N1_A46</vt:lpstr>
      <vt:lpstr>N1_A47</vt:lpstr>
      <vt:lpstr>N1_A48</vt:lpstr>
      <vt:lpstr>N1_A49</vt:lpstr>
      <vt:lpstr>N1_A5</vt:lpstr>
      <vt:lpstr>N1_A6</vt:lpstr>
      <vt:lpstr>N1_A7</vt:lpstr>
      <vt:lpstr>N1_A8</vt:lpstr>
      <vt:lpstr>N1_A9</vt:lpstr>
      <vt:lpstr>N1_Dummy1</vt:lpstr>
      <vt:lpstr>'АР-07-18'!N1_Footer</vt:lpstr>
      <vt:lpstr>N1_K_1</vt:lpstr>
      <vt:lpstr>N1_MainTable</vt:lpstr>
      <vt:lpstr>N1_NU_1</vt:lpstr>
      <vt:lpstr>N1_NU_2</vt:lpstr>
      <vt:lpstr>'АР-07-18'!N1_RepHeader</vt:lpstr>
      <vt:lpstr>N1_Операционист</vt:lpstr>
    </vt:vector>
  </TitlesOfParts>
  <Company>RS SoftLab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Kazmiruk Elena</dc:creator>
  <cp:lastModifiedBy>Schelkova Galina</cp:lastModifiedBy>
  <cp:lastPrinted>2007-01-18T13:54:05Z</cp:lastPrinted>
  <dcterms:created xsi:type="dcterms:W3CDTF">2006-10-11T13:18:05Z</dcterms:created>
  <dcterms:modified xsi:type="dcterms:W3CDTF">2025-07-15T10:09:30Z</dcterms:modified>
</cp:coreProperties>
</file>