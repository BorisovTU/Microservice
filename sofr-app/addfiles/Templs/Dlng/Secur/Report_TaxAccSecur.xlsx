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Java\project\PoiReportsRSHB_114_Test\"/>
    </mc:Choice>
  </mc:AlternateContent>
  <xr:revisionPtr revIDLastSave="0" documentId="13_ncr:1_{31E0CC97-28A9-4B18-BFBF-4E9B66096B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риложение 2 (НП)" sheetId="1" r:id="rId1"/>
    <sheet name="Приложение 3 (Свод)" sheetId="2" r:id="rId2"/>
    <sheet name="Приложение 4 (Отчет МСФО)" sheetId="3" r:id="rId3"/>
  </sheets>
  <definedNames>
    <definedName name="_xlnm._FilterDatabase" localSheetId="1" hidden="1">'Приложение 3 (Свод)'!#REF!</definedName>
    <definedName name="N1_B10">'Приложение 2 (НП)'!$AO$8</definedName>
    <definedName name="N1_B11">'Приложение 2 (НП)'!$AP$8</definedName>
    <definedName name="N1_B12">'Приложение 2 (НП)'!$AQ$8</definedName>
    <definedName name="N1_B13">'Приложение 2 (НП)'!$AR$8</definedName>
    <definedName name="N1_B14">'Приложение 2 (НП)'!$AS$8</definedName>
    <definedName name="N1_B15">'Приложение 2 (НП)'!$AT$8</definedName>
    <definedName name="N1_B16">'Приложение 2 (НП)'!$AU$8</definedName>
    <definedName name="N1_B17">'Приложение 2 (НП)'!$AV$8</definedName>
    <definedName name="N1_B17_1">'Приложение 2 (НП)'!$AW$8</definedName>
    <definedName name="N1_B18">'Приложение 2 (НП)'!$AX$8</definedName>
    <definedName name="N1_B18_1">'Приложение 2 (НП)'!$AY$8</definedName>
    <definedName name="N1_B19">'Приложение 2 (НП)'!$AZ$8</definedName>
    <definedName name="N1_B19_1">'Приложение 2 (НП)'!$BA$8</definedName>
    <definedName name="N1_B20">'Приложение 2 (НП)'!$BB$8</definedName>
    <definedName name="N1_B3">'Приложение 2 (НП)'!$AH$8</definedName>
    <definedName name="N1_B4">'Приложение 2 (НП)'!$AI$8</definedName>
    <definedName name="N1_B5">'Приложение 2 (НП)'!$AJ$8</definedName>
    <definedName name="N1_B8">'Приложение 2 (НП)'!$AM$8</definedName>
    <definedName name="N1_B9">'Приложение 2 (НП)'!$AN$8</definedName>
    <definedName name="N1_BalNkdBrub_DH">'Приложение 2 (НП)'!$AL$8</definedName>
    <definedName name="N1_BalNkdBVN_DH">'Приложение 2 (НП)'!$AG$8</definedName>
    <definedName name="N1_BalSumRub_DH">'Приложение 2 (НП)'!$AK$8</definedName>
    <definedName name="N1_BalSumVN_DH">'Приложение 2 (НП)'!$AF$8</definedName>
    <definedName name="N1_Code">'Приложение 2 (НП)'!$E$8</definedName>
    <definedName name="N1_CodeB">'Приложение 2 (НП)'!$BH$8</definedName>
    <definedName name="N1_ComBRub">'Приложение 2 (НП)'!$BE$8</definedName>
    <definedName name="N1_ContB_Name">'Приложение 2 (НП)'!$BF$8</definedName>
    <definedName name="N1_ContB_VZL">'Приложение 2 (НП)'!$BG$8</definedName>
    <definedName name="N1_CrVNrub_DDB">'Приложение 2 (НП)'!$W$8</definedName>
    <definedName name="N1_CrVNrub_DH">'Приложение 2 (НП)'!$X$8</definedName>
    <definedName name="N1_DDB">'Приложение 2 (НП)'!$G$8</definedName>
    <definedName name="N1_DR">'Приложение 2 (НП)'!$F$8</definedName>
    <definedName name="N1_H0_1">'Приложение 2 (НП)'!$C$3</definedName>
    <definedName name="N1_ISIN">'Приложение 2 (НП)'!$C$8</definedName>
    <definedName name="N1_LastCoupDate">'Приложение 2 (НП)'!$T$8</definedName>
    <definedName name="N1_MainTable">'Приложение 2 (НП)'!$A$8:$BI$8</definedName>
    <definedName name="N1_NkdBrub_DDB">'Приложение 2 (НП)'!$Z$8</definedName>
    <definedName name="N1_NkdBrub_DH">'Приложение 2 (НП)'!$AB$8</definedName>
    <definedName name="N1_NkdBVN_DDB">'Приложение 2 (НП)'!$S$8</definedName>
    <definedName name="N1_NkdBVN_DH">'Приложение 2 (НП)'!$V$8</definedName>
    <definedName name="N1_NkdRepChgNumRub">'Приложение 2 (НП)'!$AE$8</definedName>
    <definedName name="N1_NkdRepRub3">'Приложение 2 (НП)'!$AD$8</definedName>
    <definedName name="N1_NkdRepVN">'Приложение 2 (НП)'!$AC$8</definedName>
    <definedName name="N1_NomVN_DDB">'Приложение 2 (НП)'!$N$8</definedName>
    <definedName name="N1_NomVN_DH">'Приложение 2 (НП)'!$O$8</definedName>
    <definedName name="N1_NumReg">'Приложение 2 (НП)'!$D$8</definedName>
    <definedName name="N1_O1">'Приложение 2 (НП)'!$A$8</definedName>
    <definedName name="N1_PrBnom">'Приложение 2 (НП)'!$P$8</definedName>
    <definedName name="N1_PrBVN">'Приложение 2 (НП)'!$Q$8</definedName>
    <definedName name="N1_QntyB">'Приложение 2 (НП)'!$H$8</definedName>
    <definedName name="N1_QntyB_OR">'Приложение 2 (НП)'!$K$8</definedName>
    <definedName name="N1_QntyOst">'Приложение 2 (НП)'!$J$8</definedName>
    <definedName name="N1_QntyS">'Приложение 2 (НП)'!$I$8</definedName>
    <definedName name="N1_QntyS_PR">'Приложение 2 (НП)'!$L$8</definedName>
    <definedName name="N1_SecCode">'Приложение 2 (НП)'!$BI$8</definedName>
    <definedName name="N1_SecName">'Приложение 2 (НП)'!$B$8</definedName>
    <definedName name="N1_SumBrub_DDB">'Приложение 2 (НП)'!$Y$8</definedName>
    <definedName name="N1_SumBrub_DH">'Приложение 2 (НП)'!$AA$8</definedName>
    <definedName name="N1_SumBVN_DDB">'Приложение 2 (НП)'!$R$8</definedName>
    <definedName name="N1_SumBVN_DH">'Приложение 2 (НП)'!$U$8</definedName>
    <definedName name="N1_VN">'Приложение 2 (НП)'!$M$8</definedName>
    <definedName name="N1_VR1">'Приложение 2 (НП)'!$BC$8</definedName>
    <definedName name="N1_VR2">'Приложение 2 (НП)'!$BD$8</definedName>
    <definedName name="N1_ДолжностьОперациониста">'Приложение 2 (НП)'!$A$14</definedName>
    <definedName name="N1_ДолжностьРуководителяПодразделения">'Приложение 2 (НП)'!$A$11</definedName>
    <definedName name="N1_Операционист">'Приложение 2 (НП)'!$C$14</definedName>
    <definedName name="N1_РуководительПодразделения">'Приложение 2 (НП)'!$C$11</definedName>
    <definedName name="N2_Acc_Disk">'Приложение 3 (Свод)'!$CJ$11</definedName>
    <definedName name="N2_Acc_Rest">'Приложение 3 (Свод)'!$CH$11</definedName>
    <definedName name="N2_AccCoupB">'Приложение 3 (Свод)'!$CL$11</definedName>
    <definedName name="N2_AccCoupS">'Приложение 3 (Свод)'!$CI$11</definedName>
    <definedName name="N2_AccDoh_Coup">'Приложение 3 (Свод)'!$CA$11</definedName>
    <definedName name="N2_AccDoh_Disk">'Приложение 3 (Свод)'!$CB$11</definedName>
    <definedName name="N2_AccDoh_Pereoc">'Приложение 3 (Свод)'!$CD$11</definedName>
    <definedName name="N2_AccDoh_Rest">'Приложение 3 (Свод)'!$BY$11</definedName>
    <definedName name="N2_AccRash_Pereoc">'Приложение 3 (Свод)'!$CE$11</definedName>
    <definedName name="N2_AccRash_Rest">'Приложение 3 (Свод)'!$BZ$11</definedName>
    <definedName name="N2_AccRepCoupB">'Приложение 3 (Свод)'!$CQ$11</definedName>
    <definedName name="N2_AccRepCoupS">'Приложение 3 (Свод)'!$CN$11</definedName>
    <definedName name="N2_AccRepDisk">'Приложение 3 (Свод)'!$CO$11</definedName>
    <definedName name="N2_AccRepRest">'Приложение 3 (Свод)'!$CM$11</definedName>
    <definedName name="N2_B14">'Приложение 3 (Свод)'!$AV$11</definedName>
    <definedName name="N2_B15">'Приложение 3 (Свод)'!$AW$11</definedName>
    <definedName name="N2_B16">'Приложение 3 (Свод)'!$AX$11</definedName>
    <definedName name="N2_B17">'Приложение 3 (Свод)'!$AY$11</definedName>
    <definedName name="N2_B21">'Приложение 3 (Свод)'!$BC$11</definedName>
    <definedName name="N2_B5">'Приложение 3 (Свод)'!$AM$11</definedName>
    <definedName name="N2_BalDoh_Coup">'Приложение 3 (Свод)'!$AK$11</definedName>
    <definedName name="N2_BalDoh_Disk">'Приложение 3 (Свод)'!$AL$11</definedName>
    <definedName name="N2_BalDoh_Rest">'Приложение 3 (Свод)'!$AI$11</definedName>
    <definedName name="N2_BalRash_Rest">'Приложение 3 (Свод)'!$AJ$11</definedName>
    <definedName name="N2_BS6">'Приложение 3 (Свод)'!$AH$11</definedName>
    <definedName name="N2_Code">'Приложение 3 (Свод)'!$D$11</definedName>
    <definedName name="N2_Comiss">'Приложение 3 (Свод)'!$H$11</definedName>
    <definedName name="N2_DGO">'Приложение 3 (Свод)'!$CY$11</definedName>
    <definedName name="N2_Diff">'Приложение 3 (Свод)'!$AZ$11</definedName>
    <definedName name="N2_Doh_All">'Приложение 3 (Свод)'!$AC$11</definedName>
    <definedName name="N2_Doh_Deriv">'Приложение 3 (Свод)'!$AP$11</definedName>
    <definedName name="N2_DohNkd_Tx">'Приложение 3 (Свод)'!$T$11</definedName>
    <definedName name="N2_DohPerMarkt">'Приложение 3 (Свод)'!$AT$11</definedName>
    <definedName name="N2_DohPrcRep">'Приложение 3 (Свод)'!$AN$11</definedName>
    <definedName name="N2_DohRepRub">'Приложение 3 (Свод)'!$R$11</definedName>
    <definedName name="N2_DohRez">'Приложение 3 (Свод)'!$Z$11</definedName>
    <definedName name="N2_Fin_Res">'Приложение 3 (Свод)'!$I$11</definedName>
    <definedName name="N2_FinRes_Diff">'Приложение 3 (Свод)'!$AF$11</definedName>
    <definedName name="N2_H0_1">'Приложение 3 (Свод)'!$C$3</definedName>
    <definedName name="N2_ISIN">'Приложение 3 (Свод)'!$B$11</definedName>
    <definedName name="N2_K1">'Приложение 3 (Свод)'!$BD$11</definedName>
    <definedName name="N2_K10">'Приложение 3 (Свод)'!$BM$11</definedName>
    <definedName name="N2_K11">'Приложение 3 (Свод)'!$BN$11</definedName>
    <definedName name="N2_K12">'Приложение 3 (Свод)'!$BO$11</definedName>
    <definedName name="N2_K13">'Приложение 3 (Свод)'!$BP$11</definedName>
    <definedName name="N2_K14">'Приложение 3 (Свод)'!$BQ$11</definedName>
    <definedName name="N2_K15">'Приложение 3 (Свод)'!$BR$11</definedName>
    <definedName name="N2_K16">'Приложение 3 (Свод)'!$BS$11</definedName>
    <definedName name="N2_K17">'Приложение 3 (Свод)'!$BT$11</definedName>
    <definedName name="N2_K18">'Приложение 3 (Свод)'!$BU$11</definedName>
    <definedName name="N2_K2">'Приложение 3 (Свод)'!$BE$11</definedName>
    <definedName name="N2_K3">'Приложение 3 (Свод)'!$BF$11</definedName>
    <definedName name="N2_K4">'Приложение 3 (Свод)'!$BG$11</definedName>
    <definedName name="N2_K5">'Приложение 3 (Свод)'!$BH$11</definedName>
    <definedName name="N2_K6">'Приложение 3 (Свод)'!$BI$11</definedName>
    <definedName name="N2_K7">'Приложение 3 (Свод)'!$BJ$11</definedName>
    <definedName name="N2_K8">'Приложение 3 (Свод)'!$BK$11</definedName>
    <definedName name="N2_K9">'Приложение 3 (Свод)'!$BL$11</definedName>
    <definedName name="N2_MainTable">'Приложение 3 (Свод)'!$A$11:$CY$11</definedName>
    <definedName name="N2_MinusCurrPereoc">'Приложение 3 (Свод)'!$AS$11</definedName>
    <definedName name="N2_MinusPereoc_Account">'Приложение 3 (Свод)'!$CW$11</definedName>
    <definedName name="N2_MinusPereoc_Diff">'Приложение 3 (Свод)'!$BB$11</definedName>
    <definedName name="N2_NkdBRub">'Приложение 3 (Свод)'!$K$11</definedName>
    <definedName name="N2_NkdPrevRub">'Приложение 3 (Свод)'!$N$11</definedName>
    <definedName name="N2_NkdRepRub">'Приложение 3 (Свод)'!$L$11</definedName>
    <definedName name="N2_NkdRub">'Приложение 3 (Свод)'!$M$11</definedName>
    <definedName name="N2_NkdSRub">'Приложение 3 (Свод)'!$J$11</definedName>
    <definedName name="N2_NumReg">'Приложение 3 (Свод)'!$C$11</definedName>
    <definedName name="N2_PlusCurrPereoc">'Приложение 3 (Свод)'!$AR$11</definedName>
    <definedName name="N2_PlusPereoc_Account">'Приложение 3 (Свод)'!$CV$11</definedName>
    <definedName name="N2_PlusPereoc_Diff">'Приложение 3 (Свод)'!$BA$11</definedName>
    <definedName name="N2_ProcAllRub">'Приложение 3 (Свод)'!$O$11</definedName>
    <definedName name="N2_PrtfCateg">'Приложение 3 (Свод)'!$BX$11</definedName>
    <definedName name="N2_Rash_All">'Приложение 3 (Свод)'!$AD$11</definedName>
    <definedName name="N2_Rash_Deriv">'Приложение 3 (Свод)'!$AQ$11</definedName>
    <definedName name="N2_RashAll_Tx">'Приложение 3 (Свод)'!$Q$11</definedName>
    <definedName name="N2_RashNkd_Tx">'Приложение 3 (Свод)'!$U$11</definedName>
    <definedName name="N2_RashPerMarkt">'Приложение 3 (Свод)'!$AU$11</definedName>
    <definedName name="N2_RashPrcRep">'Приложение 3 (Свод)'!$AO$11</definedName>
    <definedName name="N2_RashRepRub">'Приложение 3 (Свод)'!$S$11</definedName>
    <definedName name="N2_RashRez">'Приложение 3 (Свод)'!$AA$11</definedName>
    <definedName name="N2_RashRez_DH">'Приложение 3 (Свод)'!$BW$11</definedName>
    <definedName name="N2_RashRez_Prev">'Приложение 3 (Свод)'!$BV$11</definedName>
    <definedName name="N2_S13">'Приложение 3 (Свод)'!$CK$11</definedName>
    <definedName name="N2_S18">'Приложение 3 (Свод)'!$CP$11</definedName>
    <definedName name="N2_S20">'Приложение 3 (Свод)'!$CR$11</definedName>
    <definedName name="N2_S21">'Приложение 3 (Свод)'!$CS$11</definedName>
    <definedName name="N2_S22">'Приложение 3 (Свод)'!$CT$11</definedName>
    <definedName name="N2_S23">'Приложение 3 (Свод)'!$CU$11</definedName>
    <definedName name="N2_S5">'Приложение 3 (Свод)'!$CC$11</definedName>
    <definedName name="N2_S8">'Приложение 3 (Свод)'!$CF$11</definedName>
    <definedName name="N2_S9">'Приложение 3 (Свод)'!$CG$11</definedName>
    <definedName name="N2_SecCode">'Приложение 3 (Свод)'!$CX$11</definedName>
    <definedName name="N2_SecName">'Приложение 3 (Свод)'!$A$11</definedName>
    <definedName name="N2_StRate">'Приложение 3 (Свод)'!$W$11</definedName>
    <definedName name="N2_SumBrub">'Приложение 3 (Свод)'!$G$11</definedName>
    <definedName name="N2_SumSrub">'Приложение 3 (Свод)'!$F$11</definedName>
    <definedName name="N2_SumSrub_Tx">'Приложение 3 (Свод)'!$P$11</definedName>
    <definedName name="N2_Taxe_All">'Приложение 3 (Свод)'!$V$11</definedName>
    <definedName name="N2_Taxe_Diff">'Приложение 3 (Свод)'!$AG$11</definedName>
    <definedName name="N2_Taxe_RashDiff">'Приложение 3 (Свод)'!$AE$11</definedName>
    <definedName name="N2_Taxe_StRate15">'Приложение 3 (Свод)'!$X$11</definedName>
    <definedName name="N2_Taxe_StRate20">'Приложение 3 (Свод)'!$Y$11</definedName>
    <definedName name="N2_TxStR20_Rez">'Приложение 3 (Свод)'!$AB$11</definedName>
    <definedName name="N2_VN">'Приложение 3 (Свод)'!$E$11</definedName>
    <definedName name="N2_ДолжностьОперациониста">'Приложение 3 (Свод)'!$A$17</definedName>
    <definedName name="N2_ДолжностьРуководителяПодразделения">'Приложение 3 (Свод)'!$A$14</definedName>
    <definedName name="N2_Операционист">'Приложение 3 (Свод)'!$D$17</definedName>
    <definedName name="N2_РуководительПодразделения">'Приложение 3 (Свод)'!$D$14</definedName>
    <definedName name="N3_H0_1">'Приложение 4 (Отчет МСФО)'!$G$2</definedName>
    <definedName name="N3_H1">'Приложение 4 (Отчет МСФО)'!$A$1</definedName>
    <definedName name="N3_ДолжностьОперациониста">'Приложение 4 (Отчет МСФО)'!$A$65</definedName>
    <definedName name="N3_ДолжностьРуководителяПодразделения">'Приложение 4 (Отчет МСФО)'!$A$62</definedName>
    <definedName name="N3_Операционист">'Приложение 4 (Отчет МСФО)'!$C$65</definedName>
    <definedName name="N3_РуководительПодразделения">'Приложение 4 (Отчет МСФО)'!$C$62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5" i="2" l="1"/>
  <c r="BC7" i="2" s="1"/>
  <c r="BD5" i="2"/>
  <c r="BD7" i="2"/>
  <c r="BE5" i="2"/>
  <c r="BE7" i="2"/>
  <c r="H54" i="3"/>
  <c r="G54" i="3"/>
  <c r="F54" i="3"/>
  <c r="E54" i="3"/>
  <c r="C52" i="3"/>
  <c r="C51" i="3"/>
  <c r="C50" i="3"/>
  <c r="C49" i="3"/>
  <c r="C48" i="3"/>
  <c r="C47" i="3"/>
  <c r="C46" i="3"/>
  <c r="C45" i="3"/>
  <c r="C44" i="3"/>
  <c r="C43" i="3"/>
  <c r="C42" i="3"/>
  <c r="C41" i="3"/>
  <c r="C34" i="3"/>
  <c r="C33" i="3"/>
  <c r="C30" i="3"/>
  <c r="C26" i="3"/>
  <c r="C23" i="3"/>
  <c r="C20" i="3"/>
  <c r="C19" i="3"/>
  <c r="C18" i="3"/>
  <c r="C17" i="3"/>
  <c r="C16" i="3"/>
  <c r="C15" i="3"/>
  <c r="C14" i="3"/>
  <c r="C13" i="3"/>
  <c r="C12" i="3"/>
  <c r="C11" i="3"/>
  <c r="BB5" i="2"/>
  <c r="BB7" i="2" s="1"/>
  <c r="BA5" i="2"/>
  <c r="BA7" i="2" s="1"/>
  <c r="AZ5" i="2"/>
  <c r="AZ7" i="2"/>
  <c r="AY5" i="2"/>
  <c r="AY7" i="2" s="1"/>
  <c r="AX5" i="2"/>
  <c r="AX7" i="2"/>
  <c r="AW5" i="2"/>
  <c r="AW7" i="2"/>
  <c r="AV5" i="2"/>
  <c r="AV7" i="2"/>
  <c r="AU5" i="2"/>
  <c r="AU7" i="2" s="1"/>
  <c r="AT5" i="2"/>
  <c r="AT7" i="2" s="1"/>
  <c r="AS5" i="2"/>
  <c r="AS7" i="2"/>
  <c r="AR5" i="2"/>
  <c r="AR7" i="2" s="1"/>
  <c r="AQ5" i="2"/>
  <c r="AQ7" i="2" s="1"/>
  <c r="AP5" i="2"/>
  <c r="AP7" i="2"/>
  <c r="AO5" i="2"/>
  <c r="AO7" i="2"/>
  <c r="AN5" i="2"/>
  <c r="AN7" i="2" s="1"/>
  <c r="AM5" i="2"/>
  <c r="AM7" i="2" s="1"/>
  <c r="AL5" i="2"/>
  <c r="AL7" i="2"/>
  <c r="AK5" i="2"/>
  <c r="AK7" i="2" s="1"/>
  <c r="AJ5" i="2"/>
  <c r="AJ7" i="2"/>
  <c r="AI5" i="2"/>
  <c r="AI7" i="2" s="1"/>
  <c r="AH5" i="2"/>
  <c r="AH7" i="2" s="1"/>
  <c r="AG5" i="2"/>
  <c r="AG7" i="2"/>
  <c r="AF5" i="2"/>
  <c r="AF7" i="2"/>
  <c r="AE5" i="2"/>
  <c r="AE7" i="2"/>
  <c r="AD5" i="2"/>
  <c r="AD7" i="2"/>
  <c r="AC5" i="2"/>
  <c r="AC7" i="2"/>
  <c r="AB5" i="2"/>
  <c r="AB7" i="2" s="1"/>
  <c r="AA5" i="2"/>
  <c r="AA7" i="2" s="1"/>
  <c r="Z5" i="2"/>
  <c r="Z7" i="2" s="1"/>
  <c r="Y5" i="2"/>
  <c r="Y7" i="2" s="1"/>
  <c r="X5" i="2"/>
  <c r="X7" i="2" s="1"/>
  <c r="V5" i="2"/>
  <c r="V7" i="2"/>
  <c r="U5" i="2"/>
  <c r="U7" i="2"/>
  <c r="T5" i="2"/>
  <c r="T7" i="2" s="1"/>
  <c r="S5" i="2"/>
  <c r="S7" i="2" s="1"/>
  <c r="R5" i="2"/>
  <c r="R7" i="2" s="1"/>
  <c r="Q5" i="2"/>
  <c r="Q7" i="2" s="1"/>
  <c r="P5" i="2"/>
  <c r="P7" i="2" s="1"/>
  <c r="O5" i="2"/>
  <c r="O7" i="2"/>
  <c r="N5" i="2"/>
  <c r="N7" i="2"/>
  <c r="M5" i="2"/>
  <c r="M7" i="2"/>
  <c r="L5" i="2"/>
  <c r="L7" i="2"/>
  <c r="K5" i="2"/>
  <c r="K7" i="2" s="1"/>
  <c r="J5" i="2"/>
  <c r="J7" i="2" s="1"/>
  <c r="I5" i="2"/>
  <c r="I7" i="2"/>
  <c r="H5" i="2"/>
  <c r="H7" i="2" s="1"/>
  <c r="G5" i="2"/>
  <c r="G7" i="2" s="1"/>
  <c r="F5" i="2"/>
  <c r="F7" i="2"/>
  <c r="BF5" i="2"/>
  <c r="BF7" i="2"/>
  <c r="BG5" i="2"/>
  <c r="BG7" i="2"/>
  <c r="BH5" i="2"/>
  <c r="BH7" i="2" s="1"/>
  <c r="BI5" i="2"/>
  <c r="BI7" i="2" s="1"/>
  <c r="BJ5" i="2"/>
  <c r="BJ7" i="2" s="1"/>
  <c r="BK5" i="2"/>
  <c r="BK7" i="2" s="1"/>
  <c r="BL5" i="2"/>
  <c r="BL7" i="2" s="1"/>
  <c r="BM5" i="2"/>
  <c r="BM7" i="2"/>
  <c r="BN5" i="2"/>
  <c r="BN7" i="2"/>
  <c r="BO5" i="2"/>
  <c r="BO7" i="2"/>
  <c r="BP5" i="2"/>
  <c r="BP7" i="2"/>
  <c r="BQ5" i="2"/>
  <c r="BQ7" i="2" s="1"/>
  <c r="BR5" i="2"/>
  <c r="BR7" i="2" s="1"/>
  <c r="BS5" i="2"/>
  <c r="BS7" i="2"/>
  <c r="BT5" i="2"/>
  <c r="BT7" i="2"/>
  <c r="BU5" i="2"/>
  <c r="BU7" i="2" s="1"/>
  <c r="BV5" i="2"/>
  <c r="BV7" i="2"/>
  <c r="BW5" i="2"/>
  <c r="BW7" i="2"/>
  <c r="C54" i="3" l="1"/>
  <c r="C36" i="3"/>
  <c r="C57" i="3" s="1"/>
  <c r="C59" i="3" s="1"/>
</calcChain>
</file>

<file path=xl/sharedStrings.xml><?xml version="1.0" encoding="utf-8"?>
<sst xmlns="http://schemas.openxmlformats.org/spreadsheetml/2006/main" count="677" uniqueCount="530">
  <si>
    <t>Налоговый портфель эмиссионных ценных бумаг по состоянию на отчетную дату</t>
  </si>
  <si>
    <t xml:space="preserve">Отчетный (налоговый) период: </t>
  </si>
  <si>
    <t>Краткое наименование выпуска ценых бумаг</t>
  </si>
  <si>
    <t>ISIN</t>
  </si>
  <si>
    <t>Номер государственной регистрации выпуска</t>
  </si>
  <si>
    <t>Код вида ценной бумаги</t>
  </si>
  <si>
    <t>Дата заключения сделки</t>
  </si>
  <si>
    <t>Дата ППС</t>
  </si>
  <si>
    <t>Количество ценных бумаг (всего по сделке покупки), штук</t>
  </si>
  <si>
    <t>Количество ценных бумаг (всего продано по сделкам обычной купли-продажи), штук</t>
  </si>
  <si>
    <t>Количество ценных бумаг, стоимость которых не списана на расходы в налоговом учете, штук</t>
  </si>
  <si>
    <t>Количество ценных бумаг (всего приобретено по первой части обратного РЕПО), штук</t>
  </si>
  <si>
    <t>Количество ценных бумаг (всего продано по первой части прямого РЕПО), штук</t>
  </si>
  <si>
    <t>Код валюты номинала</t>
  </si>
  <si>
    <t>Номинальная стоимость ценной бумаги на дату ППС, в валюте номинала</t>
  </si>
  <si>
    <t>Номинальная стоимость ценной бумаги на отчетную дату, в валюте номинала</t>
  </si>
  <si>
    <t>Цена приобретения одной облигации (без НКД), в %</t>
  </si>
  <si>
    <t>Цена приобретения одной ценной бумаги (кроме облигации), в валюте номинала</t>
  </si>
  <si>
    <t>НКД уплаченный при приобретении облигаций на дату ППС, в валюте номинала</t>
  </si>
  <si>
    <t>Курс валюты номинала, установленный ЦБ РФ на дату ППС, в рублях</t>
  </si>
  <si>
    <t>Курс валюты номинала, установленный ЦБ РФ на отчетную дату, в рублях</t>
  </si>
  <si>
    <t>Наименование контрагента</t>
  </si>
  <si>
    <t>ДР "ВЗЛ" контрагента</t>
  </si>
  <si>
    <t>Номер сделки (при приобретении ценных бумаг)</t>
  </si>
  <si>
    <t>&lt;ДолжностьРуководителяПодразделения&gt;</t>
  </si>
  <si>
    <t>&lt;РуководительПодразделения&gt;</t>
  </si>
  <si>
    <t>(подпись)</t>
  </si>
  <si>
    <t>Ф.И.О.</t>
  </si>
  <si>
    <t>&lt;ДолжностьОперациониста&gt;</t>
  </si>
  <si>
    <t>&lt;Операционист&gt;</t>
  </si>
  <si>
    <t>&lt;H0_1&gt;</t>
  </si>
  <si>
    <t>&lt;SecName&gt;</t>
  </si>
  <si>
    <t>&lt;ISIN&gt;</t>
  </si>
  <si>
    <t>&lt;NumReg&gt;</t>
  </si>
  <si>
    <t>&lt;SecCode&gt;</t>
  </si>
  <si>
    <t>&lt;DR&gt;</t>
  </si>
  <si>
    <t>&lt;DDB&gt;</t>
  </si>
  <si>
    <t>&lt;QntyB&gt;</t>
  </si>
  <si>
    <t>&lt;QntyS&gt;</t>
  </si>
  <si>
    <t>&lt;QntyOst&gt;</t>
  </si>
  <si>
    <t>&lt;QntyB_OR&gt;</t>
  </si>
  <si>
    <t>&lt;QntyS_PR&gt;</t>
  </si>
  <si>
    <t>&lt;VN&gt;</t>
  </si>
  <si>
    <t>&lt;NomVN_DDB&gt;</t>
  </si>
  <si>
    <t>&lt;PrBnom&gt;</t>
  </si>
  <si>
    <t>&lt;PrBVN&gt;</t>
  </si>
  <si>
    <t>&lt;SumBVN_DDB&gt;</t>
  </si>
  <si>
    <t>&lt;NkdBVN_DDB&gt;</t>
  </si>
  <si>
    <t>&lt;LastCoupDate&gt;</t>
  </si>
  <si>
    <t>&lt;CrVNrub_DDB&gt;</t>
  </si>
  <si>
    <t>&lt;SumBrub_DDB&gt;</t>
  </si>
  <si>
    <t>&lt;NkdBrub_DDB&gt;</t>
  </si>
  <si>
    <t>&lt;ComBRub&gt;</t>
  </si>
  <si>
    <t>&lt;ContB_Name&gt;</t>
  </si>
  <si>
    <t>&lt;ContB_VZL&gt;</t>
  </si>
  <si>
    <t>&lt;CodeB&gt;</t>
  </si>
  <si>
    <t>&lt;NomVN_DH&gt;</t>
  </si>
  <si>
    <t>&lt;SumBVN_DH&gt;</t>
  </si>
  <si>
    <t>&lt;NkdBVN_DH&gt;</t>
  </si>
  <si>
    <t>&lt;BalNkdBrub_DH&gt;</t>
  </si>
  <si>
    <t>&lt;CrVNrub_DH&gt;</t>
  </si>
  <si>
    <t>&lt;SumBrub_DH&gt;</t>
  </si>
  <si>
    <t>&lt;NkdBrub_DH&gt;</t>
  </si>
  <si>
    <t>&lt;BalSumVN_DH&gt;</t>
  </si>
  <si>
    <t>&lt;BalNkdBVN_DH&gt;</t>
  </si>
  <si>
    <t>&lt;BalSumRub_DH&gt;</t>
  </si>
  <si>
    <t>Свод данных налогового учета за отчетный период. Контроль данных налогового учета с данными бухгалтерского учета</t>
  </si>
  <si>
    <t>Валютная переоценка</t>
  </si>
  <si>
    <t>Рыночная переоценка</t>
  </si>
  <si>
    <t>Доходы в виде процента, купона и дисконта</t>
  </si>
  <si>
    <t>Доходы по операциям РЕПО</t>
  </si>
  <si>
    <t>Расходы по операциям РЕПО</t>
  </si>
  <si>
    <t>Лицевые счета по учету доходов и расходов по операциям с ценными бумагами</t>
  </si>
  <si>
    <t>Лицевые счета по учету вложений в ценные бумаги (кроме РЕПО)</t>
  </si>
  <si>
    <t>Лицевые счета по учету вложений в ценные бумаги (РЕПО)</t>
  </si>
  <si>
    <t>Лицевые счета по учету переоценки</t>
  </si>
  <si>
    <t>Фактическая выручка от реализации</t>
  </si>
  <si>
    <t>Расходы по приобретению ценных бумаг (без учета уплаченных комиссий и прочих расходов)</t>
  </si>
  <si>
    <t>НКД, полученный, учитываемый в составе выручки</t>
  </si>
  <si>
    <t>НКД, уплаченный, учитываемый в составе затрат на приобретение</t>
  </si>
  <si>
    <t>НКД по государственным и муниципальным бумагам, а также купон по КО, полученный при погашении</t>
  </si>
  <si>
    <t>Процентный (купонный) доход (расход) начисленный (наращенный)</t>
  </si>
  <si>
    <t>Процентный (купонный) доход (расход), относящийся к предыдущему периоду</t>
  </si>
  <si>
    <t>Доход от восстановления резерва под обесценение ценных бумаг</t>
  </si>
  <si>
    <t>Расход по созданию резерва под обесценение ценных бумаг</t>
  </si>
  <si>
    <t>Доходы от реализации (70601)</t>
  </si>
  <si>
    <t>Расходы от реализации (70606)</t>
  </si>
  <si>
    <t>Доходы по купону (70601)</t>
  </si>
  <si>
    <t>Дисконтные доходы (70601)</t>
  </si>
  <si>
    <t>Доходы от рыночной переоценки (70602)</t>
  </si>
  <si>
    <t>Расходы от рыночной переоценки (70607)</t>
  </si>
  <si>
    <t>Корректировка данных БУ по счетам 706</t>
  </si>
  <si>
    <t xml:space="preserve">Справочно: изменение положительной переоценки за отчетный период (10603) </t>
  </si>
  <si>
    <t xml:space="preserve">Справочно: изменение отрицательной переоценки за отчетный период (10605) </t>
  </si>
  <si>
    <t>Категория портфеля</t>
  </si>
  <si>
    <t>&lt;SumSrub&gt;</t>
  </si>
  <si>
    <t>&lt;SumBrub&gt;</t>
  </si>
  <si>
    <t>&lt;Comiss&gt;</t>
  </si>
  <si>
    <t>&lt;Fin_Res&gt;</t>
  </si>
  <si>
    <t>&lt;NkdSRub&gt;</t>
  </si>
  <si>
    <t>&lt;NkdBRub&gt;</t>
  </si>
  <si>
    <t>&lt;NkdRub&gt;</t>
  </si>
  <si>
    <t>&lt;NkdPrevRub&gt;</t>
  </si>
  <si>
    <t>&lt;ProcAllRub&gt;</t>
  </si>
  <si>
    <t>&lt;SumSrub_Tx&gt;</t>
  </si>
  <si>
    <t>&lt;RashAll_Tx&gt;</t>
  </si>
  <si>
    <t>&lt;DohRepRub&gt; </t>
  </si>
  <si>
    <t>&lt;RashRepRub&gt;</t>
  </si>
  <si>
    <t>&lt;DohNkd_Tx&gt;</t>
  </si>
  <si>
    <t>&lt;RashNkd_Tx&gt;</t>
  </si>
  <si>
    <t>&lt;Taxe_All&gt;</t>
  </si>
  <si>
    <t>&lt;StRate&gt;</t>
  </si>
  <si>
    <t>&lt;Taxe_StRate15&gt;</t>
  </si>
  <si>
    <t>&lt;Taxe_StRate20&gt;</t>
  </si>
  <si>
    <t>&lt;DohRez&gt;</t>
  </si>
  <si>
    <t>&lt;RashRez&gt;</t>
  </si>
  <si>
    <t>&lt;TxStR20_Rez&gt;</t>
  </si>
  <si>
    <t>&lt;Doh_All&gt;</t>
  </si>
  <si>
    <t>&lt;Rash_All&gt;</t>
  </si>
  <si>
    <t>&lt;Taxe_RashDiff&gt;</t>
  </si>
  <si>
    <t>&lt;FinRes_Diff&gt;</t>
  </si>
  <si>
    <t>&lt;Taxe_Diff&gt;</t>
  </si>
  <si>
    <t>&lt;BalDoh_Rest&gt;</t>
  </si>
  <si>
    <t>&lt;BalRash_Rest&gt;</t>
  </si>
  <si>
    <t>&lt;BalDoh_Coup&gt;</t>
  </si>
  <si>
    <t>&lt;BalDoh_Disk&gt;</t>
  </si>
  <si>
    <t>&lt;DohPrcRep&gt;</t>
  </si>
  <si>
    <t>&lt;RashPrcRep&gt;</t>
  </si>
  <si>
    <t>&lt;Doh_Deriv&gt;</t>
  </si>
  <si>
    <t>&lt;Rash_Deriv&gt;</t>
  </si>
  <si>
    <t>&lt;PlusCurrPereoc&gt;</t>
  </si>
  <si>
    <t>&lt;MinusCurrPereoc&gt;</t>
  </si>
  <si>
    <t>&lt;DohPerMarkt&gt;</t>
  </si>
  <si>
    <t>&lt;RashPerMarkt&gt;</t>
  </si>
  <si>
    <t>&lt;Diff&gt;</t>
  </si>
  <si>
    <t>&lt;PlusPereoc_Diff&gt;</t>
  </si>
  <si>
    <t>&lt;MinusPereoc_Diff&gt;</t>
  </si>
  <si>
    <t>&lt;RashRez_Prev&gt;</t>
  </si>
  <si>
    <t>&lt;RashRez_DH&gt;</t>
  </si>
  <si>
    <t>&lt;PrtfCateg&gt;</t>
  </si>
  <si>
    <t>&lt;AccDoh_Rest&gt;</t>
  </si>
  <si>
    <t>&lt;AccRash_Rest&gt;</t>
  </si>
  <si>
    <t>&lt;AccDoh_Coup&gt;</t>
  </si>
  <si>
    <t>&lt;AccDoh_Disk&gt;</t>
  </si>
  <si>
    <t>&lt;AccDoh_Pereoc&gt;</t>
  </si>
  <si>
    <t>&lt;AccRash_Pereoc&gt;</t>
  </si>
  <si>
    <t>&lt;Acc_Rest&gt;</t>
  </si>
  <si>
    <t>&lt;AccCoupS&gt;</t>
  </si>
  <si>
    <t>&lt;Acc_Disk&gt;</t>
  </si>
  <si>
    <t>&lt;AccCoupB&gt;</t>
  </si>
  <si>
    <t>&lt;AccRepRest&gt;</t>
  </si>
  <si>
    <t>&lt;AccRepCoupS&gt;</t>
  </si>
  <si>
    <t>&lt;AccRepDisk&gt;</t>
  </si>
  <si>
    <t>&lt;AccRepCoupB&gt;</t>
  </si>
  <si>
    <t>&lt;PlusPereoc_Account&gt;</t>
  </si>
  <si>
    <t>&lt;MinusPereoc_Account&gt;</t>
  </si>
  <si>
    <t>Итого</t>
  </si>
  <si>
    <t>х</t>
  </si>
  <si>
    <t>НОБ по ставке 15%</t>
  </si>
  <si>
    <t>НОБ по ставке 20%</t>
  </si>
  <si>
    <t>&lt;H1&gt;</t>
  </si>
  <si>
    <t>&lt;H0.1&gt;</t>
  </si>
  <si>
    <t>Код формы</t>
  </si>
  <si>
    <t>Наименование</t>
  </si>
  <si>
    <t>Факт</t>
  </si>
  <si>
    <t>Постоянная разница</t>
  </si>
  <si>
    <t>Предыдущие</t>
  </si>
  <si>
    <t>Наращенные (б)</t>
  </si>
  <si>
    <t>Наращенные</t>
  </si>
  <si>
    <t>Будущие</t>
  </si>
  <si>
    <t>Часть 1 - доходы</t>
  </si>
  <si>
    <t>Раздел 1.1 - Доходы под 20%</t>
  </si>
  <si>
    <t>77751101</t>
  </si>
  <si>
    <t>Доходы по счетам 706 в части ц.б. - 20%</t>
  </si>
  <si>
    <t>77751102</t>
  </si>
  <si>
    <t>Ценные бумаги - переоценка в связи с изменениями рыночных цен - доходы</t>
  </si>
  <si>
    <t>77751103</t>
  </si>
  <si>
    <t>Ценные бумаги - валютная разница, возникающая в связи с разницей в учетах - доходы</t>
  </si>
  <si>
    <t>77751104</t>
  </si>
  <si>
    <t>Ценные бумаги - временная разница, возникающая при проведении операций РЕПО - доходы</t>
  </si>
  <si>
    <t>77751105</t>
  </si>
  <si>
    <t>Ценные бумаги - начисленные проценты по бумагам сторонних эмитентов (процент, купон, дисконт) - доходы</t>
  </si>
  <si>
    <t>77751106</t>
  </si>
  <si>
    <t>Отклонения ниже минимальных рыночных цен</t>
  </si>
  <si>
    <t>77751107</t>
  </si>
  <si>
    <t xml:space="preserve">Доходы в виде стоимости дополнительно полученных Банком акций
</t>
  </si>
  <si>
    <t>77751109</t>
  </si>
  <si>
    <t>Доходы не учитываемые в целях налогообложения, прочие корректировки (в т.ч. по операциям РЕПО)</t>
  </si>
  <si>
    <t>77751110</t>
  </si>
  <si>
    <t>Ценные бумаги - вариационная маржа в связи с изменениями расчетных цен - доходы</t>
  </si>
  <si>
    <t>77751111</t>
  </si>
  <si>
    <t>Доходы от передачи активов в доверительное управление</t>
  </si>
  <si>
    <t>888888</t>
  </si>
  <si>
    <t>Доходы, подлежащие включению (+) либо исключению (-) при уточнении налоговой базы прошлых налоговых периодов (уточнение будет проводится в будущих периодах) - в части ценных бумаг</t>
  </si>
  <si>
    <t>Раздел 1.2 - Доходы под 15%</t>
  </si>
  <si>
    <t>77751201</t>
  </si>
  <si>
    <t>Доходы по счету 70601 - 15% - всего</t>
  </si>
  <si>
    <t>77751202</t>
  </si>
  <si>
    <t>Доходы по счету 70601 (баланс)</t>
  </si>
  <si>
    <t>77751203</t>
  </si>
  <si>
    <t>Доходы за время проведения операции РЕПО</t>
  </si>
  <si>
    <t>77751204</t>
  </si>
  <si>
    <t>Начисленные проценты по ценным бумагам - 15%</t>
  </si>
  <si>
    <t>Раздел 1.3 - Доходы под 9% - налог удержан налоговым агентом</t>
  </si>
  <si>
    <t>77751301</t>
  </si>
  <si>
    <t>Доходы по счету 70601 - 9% (дивиденды)</t>
  </si>
  <si>
    <t>77751302</t>
  </si>
  <si>
    <t>Начисленные проценты по ценным бумагам - 9% (дивиденды)</t>
  </si>
  <si>
    <t>Раздел 1.4 - Доходы под 0%</t>
  </si>
  <si>
    <t>77751401</t>
  </si>
  <si>
    <t>Доходы по счету 70601 - 0%</t>
  </si>
  <si>
    <t>77751402</t>
  </si>
  <si>
    <t>Начисленные проценты по ценным бумагам - 0%</t>
  </si>
  <si>
    <t>77751000</t>
  </si>
  <si>
    <t>"Налоговые" доходы</t>
  </si>
  <si>
    <t>Часть 2 - расходы</t>
  </si>
  <si>
    <t>Раздел 2.1 - Расходы под 20%</t>
  </si>
  <si>
    <t>77752101</t>
  </si>
  <si>
    <t>Расходы по счету 70606</t>
  </si>
  <si>
    <t>77752102</t>
  </si>
  <si>
    <t>Ценные бумаги - переоценка в связи с изменениями рыночных цен - расходы</t>
  </si>
  <si>
    <t>77752103</t>
  </si>
  <si>
    <t>Ценные бумаги - валютная разница, возникающая в связи с разнице в учетах - расходы</t>
  </si>
  <si>
    <t>77752104</t>
  </si>
  <si>
    <t>Ценные бумаги - временная разница, возникающая при проведении операций РЕПО - расходы</t>
  </si>
  <si>
    <t>77752105</t>
  </si>
  <si>
    <t>Ценные бумаги - начисленные проценты по собственным бумагам (процент, купон, дисконт) - расходы</t>
  </si>
  <si>
    <t>77752106</t>
  </si>
  <si>
    <t>Расходы на приобретение бумаг, не принимаемые для целей налогообложения.</t>
  </si>
  <si>
    <t>77752107</t>
  </si>
  <si>
    <t>Ценные бумаги - другие расходы - расходы</t>
  </si>
  <si>
    <t>77752108</t>
  </si>
  <si>
    <t>Ценные бумаги - суммы отчислений в резерв под обесценение вложений в ценные бумаги (ст.300 НК РФ) - расходы</t>
  </si>
  <si>
    <t>77752109</t>
  </si>
  <si>
    <t>Расходы не учитываемые в целях налогообложения, прочие корректировки (в т.ч. по операциям РЕПО)</t>
  </si>
  <si>
    <t>77752110</t>
  </si>
  <si>
    <t>Ценные бумаги - вариационная маржа в связи с изменениями расчетных цен - расходы</t>
  </si>
  <si>
    <t>77752111</t>
  </si>
  <si>
    <t>Расходы от передачи активов в доверительное управление</t>
  </si>
  <si>
    <t>77752112</t>
  </si>
  <si>
    <t>Расходы в виде процентов не принимаемые для целей налогообложения, превышение расходов в виде процентов по ст.269</t>
  </si>
  <si>
    <t>888889</t>
  </si>
  <si>
    <t>Расходы, подлежащие включению (отражается по графе 11 со знаком "+") либо исключению (отражается по графе 11 со знаком "-") при уточнении налоговой базы прошлых налоговых периодов (уточнение будет проводится в будущих периодах)</t>
  </si>
  <si>
    <t>77752000</t>
  </si>
  <si>
    <t>"Налоговые" расходы</t>
  </si>
  <si>
    <t>77750001</t>
  </si>
  <si>
    <t>НАЛОГОВАЯ БАЗА - по МСФО</t>
  </si>
  <si>
    <t>77750002</t>
  </si>
  <si>
    <t>НАЛОГОВАЯ БАЗА - по РНУ</t>
  </si>
  <si>
    <t>77750003</t>
  </si>
  <si>
    <t>К о н т р о л ь</t>
  </si>
  <si>
    <t xml:space="preserve">Отчетный период: </t>
  </si>
  <si>
    <t>Всего</t>
  </si>
  <si>
    <t>Номер портфеля</t>
  </si>
  <si>
    <t>Балансовый остаток по счету по учету предварительных затрат по приобретению и выбытию (реализации) ценных бумаг</t>
  </si>
  <si>
    <t>О1</t>
  </si>
  <si>
    <t>О2</t>
  </si>
  <si>
    <t>О3</t>
  </si>
  <si>
    <t>О4</t>
  </si>
  <si>
    <t>О5</t>
  </si>
  <si>
    <t>Н1</t>
  </si>
  <si>
    <t>Н2</t>
  </si>
  <si>
    <t>Н3</t>
  </si>
  <si>
    <t>Н4</t>
  </si>
  <si>
    <t>Н5</t>
  </si>
  <si>
    <t>Н6</t>
  </si>
  <si>
    <t>Н7</t>
  </si>
  <si>
    <t>Н8</t>
  </si>
  <si>
    <t>Н9</t>
  </si>
  <si>
    <t>Н10</t>
  </si>
  <si>
    <t>Н11</t>
  </si>
  <si>
    <t>Н12</t>
  </si>
  <si>
    <t>Н13</t>
  </si>
  <si>
    <t>Н14</t>
  </si>
  <si>
    <t>Н15</t>
  </si>
  <si>
    <t>Н16</t>
  </si>
  <si>
    <t>Н17</t>
  </si>
  <si>
    <t>Н18</t>
  </si>
  <si>
    <t>Н19</t>
  </si>
  <si>
    <t>Н20</t>
  </si>
  <si>
    <t>Н21</t>
  </si>
  <si>
    <t>Н22</t>
  </si>
  <si>
    <t>Н23</t>
  </si>
  <si>
    <t>Б1</t>
  </si>
  <si>
    <t>Б2</t>
  </si>
  <si>
    <t>Б3</t>
  </si>
  <si>
    <t>Б4</t>
  </si>
  <si>
    <t>Б5</t>
  </si>
  <si>
    <t>Б6</t>
  </si>
  <si>
    <t>Б7</t>
  </si>
  <si>
    <t>Б8</t>
  </si>
  <si>
    <t>Б9</t>
  </si>
  <si>
    <t>Б10</t>
  </si>
  <si>
    <t>Б11</t>
  </si>
  <si>
    <t>Б12</t>
  </si>
  <si>
    <t>Б13</t>
  </si>
  <si>
    <t>Б14</t>
  </si>
  <si>
    <t>Б15</t>
  </si>
  <si>
    <t>Б16</t>
  </si>
  <si>
    <t>Б17</t>
  </si>
  <si>
    <t>Б17.1</t>
  </si>
  <si>
    <t>Б18</t>
  </si>
  <si>
    <t>Б18.1</t>
  </si>
  <si>
    <t>Б19</t>
  </si>
  <si>
    <t>Б19.1</t>
  </si>
  <si>
    <t>Б20</t>
  </si>
  <si>
    <t>ВР1</t>
  </si>
  <si>
    <t>ВР2</t>
  </si>
  <si>
    <t>ВР3</t>
  </si>
  <si>
    <t>П1</t>
  </si>
  <si>
    <t>П2</t>
  </si>
  <si>
    <t>П3</t>
  </si>
  <si>
    <t>&lt;O1&gt;</t>
  </si>
  <si>
    <t>&lt;B3&gt;</t>
  </si>
  <si>
    <t>&lt;B4&gt;</t>
  </si>
  <si>
    <t>&lt;B5&gt;</t>
  </si>
  <si>
    <t>&lt;B8&gt;</t>
  </si>
  <si>
    <t>&lt;B9&gt;</t>
  </si>
  <si>
    <t>&lt;B10&gt;</t>
  </si>
  <si>
    <t>&lt;B11&gt;</t>
  </si>
  <si>
    <t>&lt;B12&gt;</t>
  </si>
  <si>
    <t>&lt;B13&gt;</t>
  </si>
  <si>
    <t>&lt;B14&gt;</t>
  </si>
  <si>
    <t>&lt;B15&gt;</t>
  </si>
  <si>
    <t>&lt;B16&gt;</t>
  </si>
  <si>
    <t>&lt;B17&gt;</t>
  </si>
  <si>
    <t>&lt;B17_1&gt;</t>
  </si>
  <si>
    <t>&lt;B18&gt;</t>
  </si>
  <si>
    <t>&lt;B18_1&gt;</t>
  </si>
  <si>
    <t>&lt;B19&gt;</t>
  </si>
  <si>
    <t>&lt;B19_1&gt;</t>
  </si>
  <si>
    <t>&lt;B20&gt;</t>
  </si>
  <si>
    <t>&lt;VR1&gt;</t>
  </si>
  <si>
    <t>&lt;VR2&gt;</t>
  </si>
  <si>
    <t>руб.коп.</t>
  </si>
  <si>
    <t>Прочие расходы связанные с приобретением и реализацией (или ином выбытием) ценных бумаг</t>
  </si>
  <si>
    <t>Финансовый результат от реализации (без учета процентного дохода и отклонений) (Н1 - Н2 - Н3)</t>
  </si>
  <si>
    <t>Сальдо процентного дохода (расхода) (справочно) (Н5 - Н6 + Н7 + Н8 - Н9)</t>
  </si>
  <si>
    <t>Выручка от реализации ценных бумаг, принимаемая в целях н/о (Н1 + Н5)</t>
  </si>
  <si>
    <t>Расходы, связанные с приобретением и реализацией ценных бумаг, принимаемые в целях н/о (Н2 + Н3 + Н6)</t>
  </si>
  <si>
    <t>Внереализационные доходы (Н5 - Н6 + Н7 + Н8 - Н9 + Н13)</t>
  </si>
  <si>
    <t>Налоговая база (НОБ) (Н11 - Н12 + Н15 - Н16)</t>
  </si>
  <si>
    <t>Ставка налога в отношении процентных доходов по облигациям</t>
  </si>
  <si>
    <t xml:space="preserve">НОБ 15%                  </t>
  </si>
  <si>
    <t>НОБ 20%                (Н17 - Н19)</t>
  </si>
  <si>
    <t>НОБ 20% с учетом резерва под обесценение ценных бумаг (Н20 + Н21 - Н22)</t>
  </si>
  <si>
    <t>Доходы БУ (Б1+Б3+Б4+Б6+Б8+Б10+Б12+Б14+Б16+Б18)</t>
  </si>
  <si>
    <t>ИТОГО НОБ-2 (БУ + временные разницы)
 (БС1 - БС2 + БС3)</t>
  </si>
  <si>
    <t>Расхождения (Н19 + Н23 - БС4)</t>
  </si>
  <si>
    <t>В т.ч. расхождения по сделкам РЕПО (Н13 - Н14 - Б6 + Б7 - К15 + К16)</t>
  </si>
  <si>
    <t>Доходы от реализации, включая разницу между стоимостью приобретения и СС (70601)</t>
  </si>
  <si>
    <t xml:space="preserve">Расходы от реализации, включая разницу между стоимостью приобретения и СС (70606) </t>
  </si>
  <si>
    <t>Расход по премии (70606)</t>
  </si>
  <si>
    <t>Доходы в виде процентов по сделкам РЕПО (70601)</t>
  </si>
  <si>
    <t>Расходы в виде процентов по сделкам РЕПО (70606)</t>
  </si>
  <si>
    <t>Доходы по производным финансовым инструментам (еврооблигации) (70613)</t>
  </si>
  <si>
    <t>Расходы по производным финансовым инструментам (еврооблигации) (70614)</t>
  </si>
  <si>
    <t>Положительная валютная переоценка (70603)</t>
  </si>
  <si>
    <t>Отрицательная валютная переоценка (70608)</t>
  </si>
  <si>
    <t>Доходы от корректировки стоимости ценных бумаг (70601)</t>
  </si>
  <si>
    <t>Расходы от корректировки стоимости ценных бумаг (70606)</t>
  </si>
  <si>
    <t>Доходы от восстановления резерва РВП и корректировки (70601)</t>
  </si>
  <si>
    <t>Расходы по созданию резерва РВП и корректировки (70606)</t>
  </si>
  <si>
    <t xml:space="preserve">Разница стоимостей списания </t>
  </si>
  <si>
    <t>Коректировка стоимости</t>
  </si>
  <si>
    <t>Резерв, созданный по ц/б в бухгалтерском учете</t>
  </si>
  <si>
    <t>Расходы в виде премии (-)</t>
  </si>
  <si>
    <t>Прочие расходы (-)</t>
  </si>
  <si>
    <t>Временные разницы по операциям РЕПО</t>
  </si>
  <si>
    <t>Резерв по ц/б в налоговом учете (-)</t>
  </si>
  <si>
    <t>Доходы(+)/ Расходы(-) "будущие"</t>
  </si>
  <si>
    <t>Доходы(+)/ Расходы(-) "наращенные (б)"</t>
  </si>
  <si>
    <t>"будущие"</t>
  </si>
  <si>
    <t>"наращенные (б)"</t>
  </si>
  <si>
    <t>Доходы в виде НКД начисленного (70601)</t>
  </si>
  <si>
    <t>Доходы в виде дисконта (70601)</t>
  </si>
  <si>
    <t>Расходы в виде премии (70606)</t>
  </si>
  <si>
    <t>Доход от корректировки стоимости ценных бумаг (70601)</t>
  </si>
  <si>
    <t>Расход от корректировки стоимости ценных бумаг (70606)</t>
  </si>
  <si>
    <t>Учет вложений (501*, 502*, 504*, 50505, 506*, 507*, 601*)</t>
  </si>
  <si>
    <t>Учет НКД начисленного (501*, 502*, 504*, 50505)</t>
  </si>
  <si>
    <t>Учет дисконта (501*, 502*, 504*, 50505)</t>
  </si>
  <si>
    <t>Учет премии (501*, 502*, 504*, 50505)</t>
  </si>
  <si>
    <t>Учет НКД уплаченного (501*, 502*, 504*, 50505)</t>
  </si>
  <si>
    <t>Учет вложений (РЕПО) (50118, 50218, 50418, 50618, 50718, 60118)</t>
  </si>
  <si>
    <t>Учет НКД начисленного (РЕПО) (50118, 50218, 50418)</t>
  </si>
  <si>
    <t>Учет дисконта (РЕПО)                  (50118, 50218, 50418)</t>
  </si>
  <si>
    <t>Учет премии (РЕПО)                 (50118, 50218, 50418)</t>
  </si>
  <si>
    <t>Учет НКД уплаченного (РЕПО)                        (50118, 50218, 50418)</t>
  </si>
  <si>
    <t>Положительная переоценка 
(50121, 50221, 50621, 50721)</t>
  </si>
  <si>
    <t>Отрицательная переоценка (50120, 50220, 50620, 50720)</t>
  </si>
  <si>
    <t>Положительная корректировка стоимости ценных бумаг (50140, 50264, 50428, 50670, 50770)</t>
  </si>
  <si>
    <t>Отрицательная корректировка стоимости ценных бумаг (50141, 50265, 50429, 50677, 50771)</t>
  </si>
  <si>
    <t>Доход от переоценки (10603)</t>
  </si>
  <si>
    <t>Расход от переоценки (10605)</t>
  </si>
  <si>
    <t>БС1</t>
  </si>
  <si>
    <t>БС2</t>
  </si>
  <si>
    <t>БС3</t>
  </si>
  <si>
    <t>БС4</t>
  </si>
  <si>
    <t>БС5</t>
  </si>
  <si>
    <t>БС6</t>
  </si>
  <si>
    <t>К1</t>
  </si>
  <si>
    <t>К2</t>
  </si>
  <si>
    <t>К3</t>
  </si>
  <si>
    <t>К4</t>
  </si>
  <si>
    <t>К5</t>
  </si>
  <si>
    <t>К6</t>
  </si>
  <si>
    <t>К7</t>
  </si>
  <si>
    <t>К8</t>
  </si>
  <si>
    <t>К9</t>
  </si>
  <si>
    <t>К10</t>
  </si>
  <si>
    <t>К11</t>
  </si>
  <si>
    <t>К12</t>
  </si>
  <si>
    <t>К13</t>
  </si>
  <si>
    <t>К14</t>
  </si>
  <si>
    <t>К15</t>
  </si>
  <si>
    <t>К16</t>
  </si>
  <si>
    <t>К17</t>
  </si>
  <si>
    <t>К18</t>
  </si>
  <si>
    <t>К19</t>
  </si>
  <si>
    <t>К20</t>
  </si>
  <si>
    <t>С1</t>
  </si>
  <si>
    <t>С2</t>
  </si>
  <si>
    <t>С3</t>
  </si>
  <si>
    <t>С4</t>
  </si>
  <si>
    <t>С5</t>
  </si>
  <si>
    <t>С6</t>
  </si>
  <si>
    <t>С7</t>
  </si>
  <si>
    <t>С8</t>
  </si>
  <si>
    <t>С9</t>
  </si>
  <si>
    <t>С10</t>
  </si>
  <si>
    <t>С11</t>
  </si>
  <si>
    <t>С12</t>
  </si>
  <si>
    <t>С13</t>
  </si>
  <si>
    <t>С14</t>
  </si>
  <si>
    <t>С15</t>
  </si>
  <si>
    <t>С16</t>
  </si>
  <si>
    <t>С17</t>
  </si>
  <si>
    <t>С18</t>
  </si>
  <si>
    <t>С19</t>
  </si>
  <si>
    <t>С20</t>
  </si>
  <si>
    <t>С21</t>
  </si>
  <si>
    <t>С22</t>
  </si>
  <si>
    <t>С23</t>
  </si>
  <si>
    <t>С24</t>
  </si>
  <si>
    <t>С25</t>
  </si>
  <si>
    <t>&lt;NkdRepRub&gt;</t>
  </si>
  <si>
    <t>&lt;BS6&gt;</t>
  </si>
  <si>
    <t>&lt;K1&gt;</t>
  </si>
  <si>
    <t>&lt;K2&gt;</t>
  </si>
  <si>
    <t>&lt;K3&gt;</t>
  </si>
  <si>
    <t>&lt;K4&gt;</t>
  </si>
  <si>
    <t>&lt;K5&gt;</t>
  </si>
  <si>
    <t>&lt;K6&gt;</t>
  </si>
  <si>
    <t>&lt;K7&gt;</t>
  </si>
  <si>
    <t>&lt;K8&gt;</t>
  </si>
  <si>
    <t>&lt;K9&gt;</t>
  </si>
  <si>
    <t>&lt;K10&gt;</t>
  </si>
  <si>
    <t>&lt;K11&gt;</t>
  </si>
  <si>
    <t>&lt;K12&gt;</t>
  </si>
  <si>
    <t>&lt;K13&gt;</t>
  </si>
  <si>
    <t>&lt;K14&gt;</t>
  </si>
  <si>
    <t>&lt;K15&gt;</t>
  </si>
  <si>
    <t>&lt;K16&gt;</t>
  </si>
  <si>
    <t>&lt;K17&gt;</t>
  </si>
  <si>
    <t>&lt;K18&gt;</t>
  </si>
  <si>
    <t>&lt;S5&gt;</t>
  </si>
  <si>
    <t>&lt;S8&gt;</t>
  </si>
  <si>
    <t>&lt;S9&gt;</t>
  </si>
  <si>
    <t>&lt;S13&gt;</t>
  </si>
  <si>
    <t>&lt;S18&gt;</t>
  </si>
  <si>
    <t>&lt;S20&gt;</t>
  </si>
  <si>
    <t>&lt;S21&gt;</t>
  </si>
  <si>
    <t>&lt;S22&gt;</t>
  </si>
  <si>
    <t>&lt;S23&gt;</t>
  </si>
  <si>
    <t>Порядок отражения доходов и расходов по ценным бумагам в отчетности в соответствии с требованиями МСФО</t>
  </si>
  <si>
    <t>&lt;Code&gt;</t>
  </si>
  <si>
    <t>Код ценной бумаги</t>
  </si>
  <si>
    <t>О6</t>
  </si>
  <si>
    <t>Б21</t>
  </si>
  <si>
    <t>&lt;B21&gt;</t>
  </si>
  <si>
    <t>Прочие расходы</t>
  </si>
  <si>
    <t>Дата выплаты последнего купона, близжайшего к отчетной дате</t>
  </si>
  <si>
    <t xml:space="preserve">Расходы БУ (Б2+Б5+Б7+Б9+Б11+Б13+Б15+Б17+Б21) </t>
  </si>
  <si>
    <t>Внереализационные расходы 
(H5 - Н6 + Н14)</t>
  </si>
  <si>
    <t>Итого временные разницы
(-К1+К2-К3+К4-К5+К6-К7+К8-К9+К10-К11+К12-К13+К14-К15+К16-К17+К18-К19+К20+Б19+Б20)</t>
  </si>
  <si>
    <t xml:space="preserve">Дата глобальной операции
(справочно)
</t>
  </si>
  <si>
    <t>О7</t>
  </si>
  <si>
    <t>&lt;DGO&gt;</t>
  </si>
  <si>
    <t>&lt;NkdRepRub3&gt;</t>
  </si>
  <si>
    <t>&lt;NkdRepVN&gt;</t>
  </si>
  <si>
    <t>&lt;NkdRepChgNumRub&gt;</t>
  </si>
  <si>
    <t>H24</t>
  </si>
  <si>
    <t>H25</t>
  </si>
  <si>
    <t>H26</t>
  </si>
  <si>
    <t>НКД начисленный (на отчетную дату), в валюте номинала</t>
  </si>
  <si>
    <t>НКД начисленный (на отчетную дату), в рублях</t>
  </si>
  <si>
    <t>Процентные доходы от изменения номинальной стоимости (на отчетную дату), в рублях</t>
  </si>
  <si>
    <r>
      <t xml:space="preserve">Стоимость приобретения ценных бумаг (без НКД) </t>
    </r>
    <r>
      <rPr>
        <u/>
        <sz val="10"/>
        <rFont val="Times New Roman"/>
        <family val="1"/>
        <charset val="204"/>
      </rPr>
      <t>на дату ППС</t>
    </r>
    <r>
      <rPr>
        <sz val="10"/>
        <rFont val="Times New Roman"/>
        <family val="1"/>
        <charset val="204"/>
      </rPr>
      <t>, в валюте номинала</t>
    </r>
  </si>
  <si>
    <r>
      <t>Стоимость приобретения ценных бумаг (без НКД) (</t>
    </r>
    <r>
      <rPr>
        <u/>
        <sz val="10"/>
        <rFont val="Times New Roman"/>
        <family val="1"/>
        <charset val="204"/>
      </rPr>
      <t>на отчетную дату</t>
    </r>
    <r>
      <rPr>
        <sz val="10"/>
        <rFont val="Times New Roman"/>
        <family val="1"/>
        <charset val="204"/>
      </rPr>
      <t>), в валюте номинала</t>
    </r>
  </si>
  <si>
    <r>
      <t>НКД уплаченный при приобретении облигаций (</t>
    </r>
    <r>
      <rPr>
        <u/>
        <sz val="10"/>
        <rFont val="Times New Roman"/>
        <family val="1"/>
        <charset val="204"/>
      </rPr>
      <t>на отчетную дату</t>
    </r>
    <r>
      <rPr>
        <sz val="10"/>
        <rFont val="Times New Roman"/>
        <family val="1"/>
        <charset val="204"/>
      </rPr>
      <t>), в валюте номинала</t>
    </r>
  </si>
  <si>
    <r>
      <t>Стоимость приобретения ценных бумаг (без НКД) (</t>
    </r>
    <r>
      <rPr>
        <u/>
        <sz val="10"/>
        <rFont val="Times New Roman"/>
        <family val="1"/>
        <charset val="204"/>
      </rPr>
      <t>на дату ППС</t>
    </r>
    <r>
      <rPr>
        <sz val="10"/>
        <rFont val="Times New Roman"/>
        <family val="1"/>
        <charset val="204"/>
      </rPr>
      <t>), в рублях</t>
    </r>
  </si>
  <si>
    <r>
      <t>НКД уплаченный при приобретении облигаций (</t>
    </r>
    <r>
      <rPr>
        <u/>
        <sz val="10"/>
        <rFont val="Times New Roman"/>
        <family val="1"/>
        <charset val="204"/>
      </rPr>
      <t>на дату ППС</t>
    </r>
    <r>
      <rPr>
        <sz val="10"/>
        <rFont val="Times New Roman"/>
        <family val="1"/>
        <charset val="204"/>
      </rPr>
      <t>), в рублях</t>
    </r>
  </si>
  <si>
    <r>
      <t>Стоимость приобретения ценных бумаг (без НКД) (</t>
    </r>
    <r>
      <rPr>
        <u/>
        <sz val="10"/>
        <rFont val="Times New Roman"/>
        <family val="1"/>
        <charset val="204"/>
      </rPr>
      <t>на отчетную дату</t>
    </r>
    <r>
      <rPr>
        <sz val="10"/>
        <rFont val="Times New Roman"/>
        <family val="1"/>
        <charset val="204"/>
      </rPr>
      <t>), в рублях</t>
    </r>
  </si>
  <si>
    <r>
      <t>НКД уплаченный при приобретении облигаций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рублях</t>
    </r>
  </si>
  <si>
    <r>
      <t>Балансовый остаток по счету по учету вложений (</t>
    </r>
    <r>
      <rPr>
        <u/>
        <sz val="10"/>
        <rFont val="Times New Roman"/>
        <family val="1"/>
        <charset val="204"/>
      </rPr>
      <t>на отчетную дату)</t>
    </r>
    <r>
      <rPr>
        <sz val="10"/>
        <rFont val="Times New Roman"/>
        <family val="1"/>
        <charset val="204"/>
      </rPr>
      <t>, в валюте номинала</t>
    </r>
  </si>
  <si>
    <r>
      <t>Балансовый остаток по счету по учету НКД уплаченного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валюте номинала</t>
    </r>
  </si>
  <si>
    <r>
      <t>Балансовый остаток по счету по учету НКД начисленного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валюте номинала</t>
    </r>
  </si>
  <si>
    <r>
      <t>Балансовый остаток по счету по учету дисконта начисленного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валюте номинала</t>
    </r>
  </si>
  <si>
    <r>
      <t>Балансовый остаток по счету по учету премии начисленной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валюте номинала</t>
    </r>
  </si>
  <si>
    <r>
      <t xml:space="preserve">Балансовый остаток по счету по учету вложений </t>
    </r>
    <r>
      <rPr>
        <u/>
        <sz val="10"/>
        <rFont val="Times New Roman"/>
        <family val="1"/>
        <charset val="204"/>
      </rPr>
      <t>на отчетную дату</t>
    </r>
    <r>
      <rPr>
        <sz val="10"/>
        <rFont val="Times New Roman"/>
        <family val="1"/>
        <charset val="204"/>
      </rPr>
      <t>, в рублях</t>
    </r>
  </si>
  <si>
    <r>
      <t>Балансовый остаток по счету по учету НКД уплаченного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рублях</t>
    </r>
  </si>
  <si>
    <r>
      <t>Балансовый остаток по счету по учету НКД начисленного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рублях</t>
    </r>
  </si>
  <si>
    <r>
      <t>Балансовый остаток по счету по учету дисконта начисленного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рублях</t>
    </r>
  </si>
  <si>
    <r>
      <t>Балансовый остаток по счету по учету премии начисленной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рублях</t>
    </r>
  </si>
  <si>
    <r>
      <t>Балансовый остаток по счету по учету превышения СС над стоимостью приобретения (</t>
    </r>
    <r>
      <rPr>
        <u/>
        <sz val="10"/>
        <rFont val="Times New Roman"/>
        <family val="1"/>
        <charset val="204"/>
      </rPr>
      <t>на отчетную дату</t>
    </r>
    <r>
      <rPr>
        <sz val="10"/>
        <rFont val="Times New Roman"/>
        <family val="1"/>
        <charset val="204"/>
      </rPr>
      <t>), в рублях
(50671, 50771)</t>
    </r>
  </si>
  <si>
    <r>
      <t>Балансовый остаток по счету по учету превышения стоимости приобретения над СС (</t>
    </r>
    <r>
      <rPr>
        <u/>
        <sz val="10"/>
        <rFont val="Times New Roman"/>
        <family val="1"/>
        <charset val="204"/>
      </rPr>
      <t>на отчетную дату</t>
    </r>
    <r>
      <rPr>
        <sz val="10"/>
        <rFont val="Times New Roman"/>
        <family val="1"/>
        <charset val="204"/>
      </rPr>
      <t>), в рублях
(50670, 50770)</t>
    </r>
  </si>
  <si>
    <r>
      <t>Балансовый остаток по счету по учету положительной переоценки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рублях
(50121, 50221, 50621, 50721, 60121)</t>
    </r>
  </si>
  <si>
    <r>
      <t>Балансовый остаток по счету по учету отрицательной переоценки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рублях
(50120, 50220, 50620, 50720, 60120)</t>
    </r>
  </si>
  <si>
    <r>
      <t>Балансовый остаток по счету по учету положительной корректировки стоимости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рублях
(50140, 50264, 50428)</t>
    </r>
  </si>
  <si>
    <r>
      <t>Балансовый остаток по счету по учету отрицательной корректировки стоимости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рублях
(50141, 50265, 50429)</t>
    </r>
  </si>
  <si>
    <r>
      <t>Балансовый остаток по счету по учету резерва РВП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 xml:space="preserve">у), в рублях
(50427, 50507, </t>
    </r>
    <r>
      <rPr>
        <i/>
        <sz val="10"/>
        <rFont val="Times New Roman"/>
        <family val="1"/>
        <charset val="204"/>
      </rPr>
      <t>50908, 50419,50719, 60105</t>
    </r>
    <r>
      <rPr>
        <sz val="10"/>
        <rFont val="Times New Roman"/>
        <family val="1"/>
        <charset val="204"/>
      </rPr>
      <t>)</t>
    </r>
  </si>
  <si>
    <r>
      <t>Балансовый остаток по счету по учету резерва РВП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рублях
(10630)</t>
    </r>
  </si>
  <si>
    <r>
      <t>Балансовый остаток по счету по учету корректировки (увеличение) резерва РВП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рублях
(50430, 50508, и 50738, 60107)</t>
    </r>
  </si>
  <si>
    <r>
      <t>Балансовый остаток по счету по учету корректировки (увеличение) резерва РВП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рублях
(10634)</t>
    </r>
  </si>
  <si>
    <r>
      <t>Балансовый остаток по счету по учету корректировки (уменьшение) резерва РВП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рублях
(50431, 50509, 50739, 60108)</t>
    </r>
  </si>
  <si>
    <r>
      <t>Балансовый остаток по счету по учету корректировки (уменьшение) резерва РВП (</t>
    </r>
    <r>
      <rPr>
        <u/>
        <sz val="10"/>
        <rFont val="Times New Roman"/>
        <family val="1"/>
        <charset val="204"/>
      </rPr>
      <t>на отчетную дат</t>
    </r>
    <r>
      <rPr>
        <sz val="10"/>
        <rFont val="Times New Roman"/>
        <family val="1"/>
        <charset val="204"/>
      </rPr>
      <t>у), в рублях
(10635 )</t>
    </r>
  </si>
  <si>
    <r>
      <t>ИТОГО Балансовая стоимость ценных бумаг (</t>
    </r>
    <r>
      <rPr>
        <u/>
        <sz val="10"/>
        <rFont val="Times New Roman"/>
        <family val="1"/>
        <charset val="204"/>
      </rPr>
      <t>на отчетную дату</t>
    </r>
    <r>
      <rPr>
        <sz val="10"/>
        <rFont val="Times New Roman"/>
        <family val="1"/>
        <charset val="204"/>
      </rPr>
      <t>), в рублях                        ((Б6 + Б7 + Б8 + Б9 + Б10 + Б13 + Б15 + Б18 + Б18.1) - (Б14 + Б16 + Б17 + Б19+ Б19.1))</t>
    </r>
  </si>
  <si>
    <r>
      <t xml:space="preserve">Доходы(+)/ Расходы(-) в виде разницы стоимостей списания "будущие"                     </t>
    </r>
    <r>
      <rPr>
        <sz val="10"/>
        <rFont val="Times New Roman"/>
        <family val="1"/>
        <charset val="204"/>
      </rPr>
      <t>(Б6 + Б9 + Б10 - Н16 * Н19)</t>
    </r>
  </si>
  <si>
    <r>
      <t xml:space="preserve">Доходы(+)/ Расходы(-) в виде валютной переоценки "будущие"                      </t>
    </r>
    <r>
      <rPr>
        <sz val="10"/>
        <rFont val="Times New Roman"/>
        <family val="1"/>
        <charset val="204"/>
      </rPr>
      <t xml:space="preserve">  ((Н16 + Н17) * (Н19 - Н18))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</si>
</sst>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#,##0.0000"/>
    <numFmt numFmtId="166" formatCode="#,##0.000000"/>
  </numFmts>
  <fonts count="31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sz val="14"/>
      <name val="Times New Roman"/>
      <family val="1"/>
      <charset val="204"/>
    </font>
    <font>
      <i/>
      <sz val="10"/>
      <name val="Times New Roman CYR"/>
      <family val="1"/>
      <charset val="204"/>
    </font>
    <font>
      <b/>
      <sz val="10"/>
      <name val="Times New Roman CYR"/>
      <family val="1"/>
      <charset val="204"/>
    </font>
    <font>
      <b/>
      <sz val="9"/>
      <name val="Times New Roman Cyr"/>
      <family val="1"/>
      <charset val="204"/>
    </font>
    <font>
      <b/>
      <sz val="12"/>
      <name val="Arial Narrow"/>
      <family val="2"/>
    </font>
    <font>
      <sz val="10"/>
      <name val="Haettenschweiler"/>
      <family val="2"/>
    </font>
    <font>
      <sz val="10"/>
      <name val="Times New Roman CYR"/>
      <charset val="204"/>
    </font>
    <font>
      <sz val="10"/>
      <name val="Times New Roman CYR"/>
      <family val="1"/>
      <charset val="204"/>
    </font>
    <font>
      <b/>
      <sz val="10"/>
      <name val="Courier New CYR"/>
      <family val="3"/>
      <charset val="204"/>
    </font>
    <font>
      <b/>
      <i/>
      <sz val="10"/>
      <name val="Times New Roman Cyr"/>
      <family val="1"/>
      <charset val="204"/>
    </font>
    <font>
      <i/>
      <sz val="8"/>
      <name val="Times New Roman CYR"/>
      <family val="1"/>
      <charset val="204"/>
    </font>
    <font>
      <i/>
      <sz val="10"/>
      <name val="Times New Roman CYR"/>
      <charset val="204"/>
    </font>
    <font>
      <b/>
      <sz val="10"/>
      <name val="Times New Roman CYR"/>
      <charset val="204"/>
    </font>
    <font>
      <b/>
      <sz val="8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b/>
      <u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8"/>
      <name val="Arial Cyr"/>
      <family val="2"/>
      <charset val="204"/>
    </font>
    <font>
      <u/>
      <sz val="10"/>
      <name val="Times New Roman"/>
      <family val="1"/>
      <charset val="204"/>
    </font>
    <font>
      <i/>
      <sz val="1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8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63">
    <xf numFmtId="0" fontId="0" fillId="0" borderId="0" xfId="0"/>
    <xf numFmtId="0" fontId="2" fillId="0" borderId="0" xfId="1" applyFont="1" applyFill="1" applyAlignment="1" applyProtection="1">
      <alignment horizontal="right" vertical="top"/>
      <protection locked="0"/>
    </xf>
    <xf numFmtId="0" fontId="4" fillId="0" borderId="0" xfId="1" applyFont="1" applyFill="1" applyBorder="1" applyAlignment="1">
      <alignment horizontal="left" vertical="top"/>
    </xf>
    <xf numFmtId="0" fontId="3" fillId="0" borderId="0" xfId="1" applyFont="1" applyFill="1"/>
    <xf numFmtId="0" fontId="3" fillId="0" borderId="0" xfId="1" applyFont="1" applyAlignment="1">
      <alignment horizontal="left" vertical="top"/>
    </xf>
    <xf numFmtId="0" fontId="7" fillId="4" borderId="1" xfId="0" applyFont="1" applyFill="1" applyBorder="1" applyAlignment="1" applyProtection="1">
      <alignment horizontal="center" vertical="top" wrapText="1"/>
      <protection locked="0"/>
    </xf>
    <xf numFmtId="0" fontId="17" fillId="4" borderId="1" xfId="0" applyFont="1" applyFill="1" applyBorder="1" applyAlignment="1" applyProtection="1">
      <alignment horizontal="center" vertical="top" wrapText="1"/>
      <protection locked="0"/>
    </xf>
    <xf numFmtId="49" fontId="9" fillId="0" borderId="1" xfId="0" applyNumberFormat="1" applyFont="1" applyFill="1" applyBorder="1" applyAlignment="1" applyProtection="1">
      <alignment horizontal="center" vertical="top"/>
      <protection locked="0"/>
    </xf>
    <xf numFmtId="4" fontId="6" fillId="4" borderId="1" xfId="0" applyNumberFormat="1" applyFont="1" applyFill="1" applyBorder="1" applyAlignment="1" applyProtection="1">
      <alignment vertical="top"/>
      <protection locked="0"/>
    </xf>
    <xf numFmtId="4" fontId="10" fillId="0" borderId="1" xfId="0" applyNumberFormat="1" applyFont="1" applyFill="1" applyBorder="1" applyAlignment="1" applyProtection="1">
      <alignment vertical="top"/>
      <protection locked="0"/>
    </xf>
    <xf numFmtId="4" fontId="16" fillId="0" borderId="1" xfId="0" applyNumberFormat="1" applyFont="1" applyFill="1" applyBorder="1" applyAlignment="1" applyProtection="1">
      <alignment vertical="top"/>
      <protection locked="0"/>
    </xf>
    <xf numFmtId="4" fontId="10" fillId="0" borderId="0" xfId="0" applyNumberFormat="1" applyFont="1" applyFill="1" applyAlignment="1" applyProtection="1">
      <alignment vertical="top"/>
      <protection locked="0"/>
    </xf>
    <xf numFmtId="4" fontId="11" fillId="0" borderId="0" xfId="0" applyNumberFormat="1" applyFont="1" applyFill="1" applyAlignment="1" applyProtection="1">
      <alignment vertical="top"/>
      <protection locked="0"/>
    </xf>
    <xf numFmtId="0" fontId="8" fillId="0" borderId="0" xfId="0" applyFont="1" applyFill="1" applyAlignment="1" applyProtection="1">
      <alignment vertical="top"/>
      <protection locked="0"/>
    </xf>
    <xf numFmtId="4" fontId="16" fillId="4" borderId="1" xfId="0" applyNumberFormat="1" applyFont="1" applyFill="1" applyBorder="1" applyAlignment="1" applyProtection="1">
      <alignment vertical="top"/>
      <protection locked="0"/>
    </xf>
    <xf numFmtId="0" fontId="5" fillId="0" borderId="1" xfId="0" applyFont="1" applyFill="1" applyBorder="1" applyAlignment="1" applyProtection="1">
      <alignment horizontal="left" vertical="top"/>
      <protection locked="0"/>
    </xf>
    <xf numFmtId="4" fontId="15" fillId="0" borderId="1" xfId="0" applyNumberFormat="1" applyFont="1" applyFill="1" applyBorder="1" applyAlignment="1" applyProtection="1">
      <alignment vertical="top"/>
      <protection locked="0"/>
    </xf>
    <xf numFmtId="4" fontId="10" fillId="0" borderId="0" xfId="0" applyNumberFormat="1" applyFont="1" applyFill="1" applyBorder="1" applyAlignment="1" applyProtection="1">
      <alignment vertical="top"/>
      <protection locked="0"/>
    </xf>
    <xf numFmtId="4" fontId="6" fillId="0" borderId="1" xfId="0" applyNumberFormat="1" applyFont="1" applyFill="1" applyBorder="1" applyAlignment="1" applyProtection="1">
      <alignment vertical="top"/>
      <protection locked="0"/>
    </xf>
    <xf numFmtId="49" fontId="9" fillId="4" borderId="1" xfId="0" applyNumberFormat="1" applyFont="1" applyFill="1" applyBorder="1" applyAlignment="1" applyProtection="1">
      <alignment horizontal="center" vertical="top"/>
      <protection locked="0"/>
    </xf>
    <xf numFmtId="0" fontId="12" fillId="4" borderId="1" xfId="0" applyFont="1" applyFill="1" applyBorder="1" applyAlignment="1" applyProtection="1">
      <alignment vertical="top"/>
      <protection locked="0"/>
    </xf>
    <xf numFmtId="4" fontId="12" fillId="4" borderId="4" xfId="0" applyNumberFormat="1" applyFont="1" applyFill="1" applyBorder="1" applyAlignment="1" applyProtection="1">
      <alignment vertical="top"/>
      <protection locked="0"/>
    </xf>
    <xf numFmtId="4" fontId="12" fillId="0" borderId="1" xfId="0" applyNumberFormat="1" applyFont="1" applyFill="1" applyBorder="1" applyAlignment="1" applyProtection="1">
      <alignment vertical="top"/>
      <protection locked="0"/>
    </xf>
    <xf numFmtId="4" fontId="13" fillId="0" borderId="1" xfId="0" applyNumberFormat="1" applyFont="1" applyFill="1" applyBorder="1" applyAlignment="1" applyProtection="1">
      <alignment vertical="top"/>
      <protection locked="0"/>
    </xf>
    <xf numFmtId="4" fontId="13" fillId="0" borderId="0" xfId="0" applyNumberFormat="1" applyFont="1" applyFill="1" applyBorder="1" applyAlignment="1" applyProtection="1">
      <alignment vertical="top"/>
      <protection locked="0"/>
    </xf>
    <xf numFmtId="4" fontId="12" fillId="4" borderId="1" xfId="0" applyNumberFormat="1" applyFont="1" applyFill="1" applyBorder="1" applyAlignment="1" applyProtection="1">
      <alignment vertical="top"/>
      <protection locked="0"/>
    </xf>
    <xf numFmtId="4" fontId="13" fillId="4" borderId="1" xfId="0" applyNumberFormat="1" applyFont="1" applyFill="1" applyBorder="1" applyAlignment="1" applyProtection="1">
      <alignment vertical="top"/>
      <protection locked="0"/>
    </xf>
    <xf numFmtId="49" fontId="9" fillId="0" borderId="0" xfId="0" applyNumberFormat="1" applyFont="1" applyFill="1" applyBorder="1" applyAlignment="1" applyProtection="1">
      <alignment horizontal="center" vertical="top"/>
      <protection locked="0"/>
    </xf>
    <xf numFmtId="0" fontId="12" fillId="0" borderId="0" xfId="0" applyFont="1" applyFill="1" applyBorder="1" applyAlignment="1" applyProtection="1">
      <alignment vertical="top"/>
      <protection locked="0"/>
    </xf>
    <xf numFmtId="4" fontId="12" fillId="0" borderId="0" xfId="0" applyNumberFormat="1" applyFont="1" applyFill="1" applyBorder="1" applyAlignment="1" applyProtection="1">
      <alignment vertical="top"/>
      <protection locked="0"/>
    </xf>
    <xf numFmtId="0" fontId="12" fillId="0" borderId="1" xfId="0" applyFont="1" applyFill="1" applyBorder="1" applyAlignment="1" applyProtection="1">
      <alignment vertical="top"/>
      <protection locked="0"/>
    </xf>
    <xf numFmtId="0" fontId="12" fillId="0" borderId="1" xfId="0" applyFont="1" applyFill="1" applyBorder="1" applyAlignment="1" applyProtection="1">
      <alignment horizontal="left" vertical="top"/>
      <protection locked="0"/>
    </xf>
    <xf numFmtId="4" fontId="14" fillId="0" borderId="0" xfId="0" applyNumberFormat="1" applyFont="1" applyFill="1" applyAlignment="1" applyProtection="1">
      <alignment vertical="top"/>
      <protection locked="0"/>
    </xf>
    <xf numFmtId="49" fontId="2" fillId="0" borderId="0" xfId="0" applyNumberFormat="1" applyFont="1" applyFill="1" applyBorder="1" applyAlignment="1" applyProtection="1">
      <alignment horizontal="left" vertical="top"/>
      <protection locked="0"/>
    </xf>
    <xf numFmtId="0" fontId="19" fillId="0" borderId="0" xfId="0" applyFont="1" applyAlignment="1">
      <alignment horizontal="left" vertical="top"/>
    </xf>
    <xf numFmtId="0" fontId="20" fillId="0" borderId="0" xfId="0" applyFont="1"/>
    <xf numFmtId="0" fontId="1" fillId="0" borderId="0" xfId="0" applyFont="1" applyAlignment="1">
      <alignment horizontal="right"/>
    </xf>
    <xf numFmtId="0" fontId="22" fillId="0" borderId="0" xfId="0" applyFont="1"/>
    <xf numFmtId="0" fontId="1" fillId="0" borderId="0" xfId="0" applyFont="1" applyAlignment="1">
      <alignment horizontal="right" vertical="top"/>
    </xf>
    <xf numFmtId="0" fontId="20" fillId="0" borderId="0" xfId="0" applyFont="1" applyFill="1" applyAlignment="1" applyProtection="1">
      <alignment horizontal="center" vertical="top"/>
      <protection locked="0"/>
    </xf>
    <xf numFmtId="0" fontId="20" fillId="0" borderId="0" xfId="0" applyFont="1" applyFill="1" applyAlignment="1" applyProtection="1">
      <alignment horizontal="center" vertical="top" wrapText="1"/>
      <protection locked="0"/>
    </xf>
    <xf numFmtId="4" fontId="20" fillId="0" borderId="0" xfId="0" applyNumberFormat="1" applyFont="1" applyFill="1" applyAlignment="1" applyProtection="1">
      <alignment horizontal="center" vertical="top" wrapText="1"/>
      <protection locked="0"/>
    </xf>
    <xf numFmtId="0" fontId="20" fillId="0" borderId="1" xfId="0" applyFont="1" applyFill="1" applyBorder="1" applyAlignment="1" applyProtection="1">
      <alignment vertical="top"/>
      <protection locked="0"/>
    </xf>
    <xf numFmtId="0" fontId="20" fillId="0" borderId="1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Alignment="1" applyProtection="1">
      <alignment vertical="top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4" fontId="20" fillId="0" borderId="0" xfId="0" applyNumberFormat="1" applyFont="1" applyFill="1" applyAlignment="1" applyProtection="1">
      <alignment vertical="top"/>
      <protection locked="0"/>
    </xf>
    <xf numFmtId="0" fontId="2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1" fillId="0" borderId="4" xfId="0" applyFont="1" applyBorder="1" applyAlignment="1">
      <alignment horizontal="center" vertical="top"/>
    </xf>
    <xf numFmtId="0" fontId="21" fillId="0" borderId="2" xfId="0" applyFont="1" applyBorder="1" applyAlignment="1">
      <alignment horizontal="center" vertical="top"/>
    </xf>
    <xf numFmtId="0" fontId="23" fillId="0" borderId="0" xfId="0" applyFont="1" applyAlignment="1">
      <alignment horizontal="center" vertical="top" wrapText="1"/>
    </xf>
    <xf numFmtId="0" fontId="23" fillId="0" borderId="0" xfId="1" applyFont="1" applyAlignment="1">
      <alignment horizontal="left"/>
    </xf>
    <xf numFmtId="0" fontId="24" fillId="0" borderId="0" xfId="1" applyFont="1" applyAlignment="1">
      <alignment horizontal="center"/>
    </xf>
    <xf numFmtId="0" fontId="24" fillId="0" borderId="0" xfId="1" applyFont="1" applyFill="1" applyAlignment="1">
      <alignment horizontal="center"/>
    </xf>
    <xf numFmtId="4" fontId="24" fillId="0" borderId="0" xfId="1" applyNumberFormat="1" applyFont="1" applyAlignment="1">
      <alignment horizontal="center"/>
    </xf>
    <xf numFmtId="0" fontId="25" fillId="0" borderId="0" xfId="1" applyFont="1" applyAlignment="1">
      <alignment horizontal="left" vertical="top"/>
    </xf>
    <xf numFmtId="0" fontId="24" fillId="0" borderId="0" xfId="1" applyFont="1" applyAlignment="1">
      <alignment horizontal="center" vertical="top"/>
    </xf>
    <xf numFmtId="0" fontId="24" fillId="0" borderId="0" xfId="1" applyFont="1" applyFill="1" applyAlignment="1">
      <alignment horizontal="center" vertical="top"/>
    </xf>
    <xf numFmtId="4" fontId="24" fillId="0" borderId="0" xfId="1" applyNumberFormat="1" applyFont="1" applyAlignment="1">
      <alignment horizontal="center" vertical="top"/>
    </xf>
    <xf numFmtId="0" fontId="24" fillId="0" borderId="0" xfId="1" applyFont="1" applyAlignment="1">
      <alignment vertical="top"/>
    </xf>
    <xf numFmtId="0" fontId="4" fillId="0" borderId="0" xfId="1" applyFont="1" applyAlignment="1">
      <alignment horizontal="right"/>
    </xf>
    <xf numFmtId="0" fontId="23" fillId="0" borderId="4" xfId="0" applyFont="1" applyFill="1" applyBorder="1" applyAlignment="1" applyProtection="1">
      <alignment horizontal="center"/>
      <protection locked="0"/>
    </xf>
    <xf numFmtId="0" fontId="23" fillId="0" borderId="2" xfId="0" applyFont="1" applyFill="1" applyBorder="1" applyAlignment="1" applyProtection="1">
      <alignment horizontal="center"/>
      <protection locked="0"/>
    </xf>
    <xf numFmtId="4" fontId="24" fillId="0" borderId="0" xfId="1" applyNumberFormat="1" applyFont="1" applyAlignment="1">
      <alignment vertical="top"/>
    </xf>
    <xf numFmtId="0" fontId="24" fillId="0" borderId="0" xfId="1" applyFont="1" applyAlignment="1">
      <alignment horizontal="right"/>
    </xf>
    <xf numFmtId="0" fontId="25" fillId="8" borderId="1" xfId="0" applyFont="1" applyFill="1" applyBorder="1" applyAlignment="1">
      <alignment horizontal="right" vertical="top"/>
    </xf>
    <xf numFmtId="0" fontId="25" fillId="8" borderId="1" xfId="0" applyFont="1" applyFill="1" applyBorder="1" applyAlignment="1">
      <alignment horizontal="center"/>
    </xf>
    <xf numFmtId="4" fontId="25" fillId="8" borderId="1" xfId="0" applyNumberFormat="1" applyFont="1" applyFill="1" applyBorder="1" applyAlignment="1"/>
    <xf numFmtId="4" fontId="25" fillId="8" borderId="1" xfId="0" applyNumberFormat="1" applyFont="1" applyFill="1" applyBorder="1" applyAlignment="1">
      <alignment horizontal="center"/>
    </xf>
    <xf numFmtId="4" fontId="25" fillId="0" borderId="0" xfId="0" applyNumberFormat="1" applyFont="1" applyAlignment="1"/>
    <xf numFmtId="49" fontId="25" fillId="9" borderId="1" xfId="0" applyNumberFormat="1" applyFont="1" applyFill="1" applyBorder="1" applyAlignment="1">
      <alignment horizontal="right" vertical="top"/>
    </xf>
    <xf numFmtId="4" fontId="25" fillId="9" borderId="1" xfId="0" applyNumberFormat="1" applyFont="1" applyFill="1" applyBorder="1" applyAlignment="1">
      <alignment horizontal="center"/>
    </xf>
    <xf numFmtId="4" fontId="25" fillId="9" borderId="1" xfId="0" applyNumberFormat="1" applyFont="1" applyFill="1" applyBorder="1" applyAlignment="1"/>
    <xf numFmtId="0" fontId="24" fillId="3" borderId="1" xfId="0" applyFont="1" applyFill="1" applyBorder="1" applyAlignment="1">
      <alignment horizontal="center" vertical="top" wrapText="1"/>
    </xf>
    <xf numFmtId="0" fontId="24" fillId="4" borderId="3" xfId="0" applyFont="1" applyFill="1" applyBorder="1" applyAlignment="1">
      <alignment horizontal="center" vertical="top" wrapText="1"/>
    </xf>
    <xf numFmtId="0" fontId="24" fillId="4" borderId="1" xfId="0" applyFont="1" applyFill="1" applyBorder="1" applyAlignment="1">
      <alignment horizontal="center" vertical="top" wrapText="1"/>
    </xf>
    <xf numFmtId="0" fontId="25" fillId="4" borderId="1" xfId="0" applyFont="1" applyFill="1" applyBorder="1" applyAlignment="1">
      <alignment horizontal="center" vertical="top" wrapText="1"/>
    </xf>
    <xf numFmtId="0" fontId="24" fillId="11" borderId="1" xfId="0" applyFont="1" applyFill="1" applyBorder="1" applyAlignment="1">
      <alignment horizontal="center" vertical="top" wrapText="1"/>
    </xf>
    <xf numFmtId="0" fontId="25" fillId="11" borderId="3" xfId="0" applyFont="1" applyFill="1" applyBorder="1" applyAlignment="1">
      <alignment horizontal="center" vertical="top" wrapText="1"/>
    </xf>
    <xf numFmtId="0" fontId="24" fillId="5" borderId="1" xfId="0" applyFont="1" applyFill="1" applyBorder="1" applyAlignment="1">
      <alignment horizontal="center" vertical="top" wrapText="1"/>
    </xf>
    <xf numFmtId="0" fontId="24" fillId="5" borderId="3" xfId="0" applyFont="1" applyFill="1" applyBorder="1" applyAlignment="1">
      <alignment horizontal="center" vertical="top" wrapText="1"/>
    </xf>
    <xf numFmtId="0" fontId="25" fillId="6" borderId="1" xfId="0" applyFont="1" applyFill="1" applyBorder="1" applyAlignment="1">
      <alignment horizontal="center" vertical="top" wrapText="1"/>
    </xf>
    <xf numFmtId="4" fontId="25" fillId="6" borderId="4" xfId="0" applyNumberFormat="1" applyFont="1" applyFill="1" applyBorder="1" applyAlignment="1">
      <alignment horizontal="center" vertical="top" wrapText="1"/>
    </xf>
    <xf numFmtId="4" fontId="25" fillId="6" borderId="2" xfId="0" applyNumberFormat="1" applyFont="1" applyFill="1" applyBorder="1" applyAlignment="1">
      <alignment horizontal="center" vertical="top" wrapText="1"/>
    </xf>
    <xf numFmtId="4" fontId="25" fillId="6" borderId="1" xfId="0" applyNumberFormat="1" applyFont="1" applyFill="1" applyBorder="1" applyAlignment="1">
      <alignment horizontal="center" vertical="top" wrapText="1"/>
    </xf>
    <xf numFmtId="0" fontId="25" fillId="10" borderId="4" xfId="0" applyFont="1" applyFill="1" applyBorder="1" applyAlignment="1">
      <alignment horizontal="center" vertical="top" wrapText="1"/>
    </xf>
    <xf numFmtId="0" fontId="25" fillId="10" borderId="6" xfId="0" applyFont="1" applyFill="1" applyBorder="1" applyAlignment="1">
      <alignment horizontal="center" vertical="top" wrapText="1"/>
    </xf>
    <xf numFmtId="0" fontId="25" fillId="10" borderId="2" xfId="0" applyFont="1" applyFill="1" applyBorder="1" applyAlignment="1">
      <alignment horizontal="center" vertical="top" wrapText="1"/>
    </xf>
    <xf numFmtId="0" fontId="24" fillId="3" borderId="3" xfId="0" applyFont="1" applyFill="1" applyBorder="1" applyAlignment="1">
      <alignment horizontal="center" vertical="top" wrapText="1"/>
    </xf>
    <xf numFmtId="0" fontId="24" fillId="4" borderId="5" xfId="0" applyFont="1" applyFill="1" applyBorder="1" applyAlignment="1">
      <alignment horizontal="center" vertical="top" wrapText="1"/>
    </xf>
    <xf numFmtId="0" fontId="25" fillId="11" borderId="5" xfId="0" applyFont="1" applyFill="1" applyBorder="1" applyAlignment="1">
      <alignment horizontal="center" vertical="top" wrapText="1"/>
    </xf>
    <xf numFmtId="0" fontId="20" fillId="0" borderId="5" xfId="0" applyFont="1" applyBorder="1" applyAlignment="1">
      <alignment horizontal="center" vertical="top" wrapText="1"/>
    </xf>
    <xf numFmtId="0" fontId="24" fillId="6" borderId="1" xfId="0" applyFont="1" applyFill="1" applyBorder="1" applyAlignment="1">
      <alignment horizontal="center" vertical="top" wrapText="1"/>
    </xf>
    <xf numFmtId="4" fontId="24" fillId="6" borderId="1" xfId="0" applyNumberFormat="1" applyFont="1" applyFill="1" applyBorder="1" applyAlignment="1">
      <alignment horizontal="center" vertical="top" wrapText="1"/>
    </xf>
    <xf numFmtId="4" fontId="24" fillId="6" borderId="2" xfId="0" applyNumberFormat="1" applyFont="1" applyFill="1" applyBorder="1" applyAlignment="1">
      <alignment horizontal="center" vertical="top" wrapText="1"/>
    </xf>
    <xf numFmtId="0" fontId="24" fillId="10" borderId="1" xfId="0" applyFont="1" applyFill="1" applyBorder="1" applyAlignment="1">
      <alignment horizontal="center" vertical="top" wrapText="1"/>
    </xf>
    <xf numFmtId="0" fontId="24" fillId="10" borderId="3" xfId="0" applyFont="1" applyFill="1" applyBorder="1" applyAlignment="1">
      <alignment horizontal="center" vertical="top" wrapText="1"/>
    </xf>
    <xf numFmtId="49" fontId="24" fillId="3" borderId="1" xfId="0" applyNumberFormat="1" applyFont="1" applyFill="1" applyBorder="1" applyAlignment="1">
      <alignment horizontal="center" vertical="top" wrapText="1"/>
    </xf>
    <xf numFmtId="49" fontId="24" fillId="4" borderId="1" xfId="0" applyNumberFormat="1" applyFont="1" applyFill="1" applyBorder="1" applyAlignment="1">
      <alignment horizontal="center" vertical="top" wrapText="1"/>
    </xf>
    <xf numFmtId="49" fontId="24" fillId="11" borderId="1" xfId="0" applyNumberFormat="1" applyFont="1" applyFill="1" applyBorder="1" applyAlignment="1">
      <alignment horizontal="center" vertical="top" wrapText="1"/>
    </xf>
    <xf numFmtId="49" fontId="24" fillId="5" borderId="1" xfId="0" applyNumberFormat="1" applyFont="1" applyFill="1" applyBorder="1" applyAlignment="1">
      <alignment horizontal="center" vertical="top" wrapText="1"/>
    </xf>
    <xf numFmtId="49" fontId="24" fillId="6" borderId="1" xfId="0" applyNumberFormat="1" applyFont="1" applyFill="1" applyBorder="1" applyAlignment="1">
      <alignment horizontal="center" vertical="top" wrapText="1"/>
    </xf>
    <xf numFmtId="49" fontId="24" fillId="10" borderId="1" xfId="0" applyNumberFormat="1" applyFont="1" applyFill="1" applyBorder="1" applyAlignment="1">
      <alignment horizontal="center" vertical="top" wrapText="1"/>
    </xf>
    <xf numFmtId="49" fontId="24" fillId="0" borderId="1" xfId="0" applyNumberFormat="1" applyFont="1" applyFill="1" applyBorder="1" applyAlignment="1" applyProtection="1">
      <alignment horizontal="left" vertical="top"/>
      <protection locked="0"/>
    </xf>
    <xf numFmtId="0" fontId="24" fillId="0" borderId="1" xfId="0" applyFont="1" applyFill="1" applyBorder="1" applyAlignment="1" applyProtection="1">
      <alignment horizontal="left" vertical="top"/>
      <protection locked="0"/>
    </xf>
    <xf numFmtId="0" fontId="24" fillId="0" borderId="1" xfId="0" applyFont="1" applyFill="1" applyBorder="1" applyAlignment="1">
      <alignment horizontal="center" vertical="top"/>
    </xf>
    <xf numFmtId="4" fontId="24" fillId="0" borderId="1" xfId="0" applyNumberFormat="1" applyFont="1" applyFill="1" applyBorder="1" applyAlignment="1" applyProtection="1">
      <alignment horizontal="right" vertical="top"/>
      <protection locked="0"/>
    </xf>
    <xf numFmtId="4" fontId="25" fillId="0" borderId="1" xfId="0" applyNumberFormat="1" applyFont="1" applyFill="1" applyBorder="1" applyAlignment="1" applyProtection="1">
      <alignment horizontal="right" vertical="top"/>
      <protection locked="0"/>
    </xf>
    <xf numFmtId="4" fontId="25" fillId="0" borderId="1" xfId="0" applyNumberFormat="1" applyFont="1" applyFill="1" applyBorder="1" applyAlignment="1">
      <alignment horizontal="right" vertical="top"/>
    </xf>
    <xf numFmtId="4" fontId="24" fillId="0" borderId="1" xfId="0" applyNumberFormat="1" applyFont="1" applyFill="1" applyBorder="1" applyAlignment="1">
      <alignment horizontal="right" vertical="top"/>
    </xf>
    <xf numFmtId="9" fontId="24" fillId="0" borderId="1" xfId="0" applyNumberFormat="1" applyFont="1" applyFill="1" applyBorder="1" applyAlignment="1">
      <alignment horizontal="center" vertical="top"/>
    </xf>
    <xf numFmtId="4" fontId="24" fillId="0" borderId="1" xfId="0" applyNumberFormat="1" applyFont="1" applyFill="1" applyBorder="1" applyAlignment="1">
      <alignment vertical="top"/>
    </xf>
    <xf numFmtId="0" fontId="24" fillId="0" borderId="1" xfId="0" applyFont="1" applyFill="1" applyBorder="1" applyAlignment="1">
      <alignment horizontal="left" vertical="top"/>
    </xf>
    <xf numFmtId="49" fontId="24" fillId="0" borderId="1" xfId="0" applyNumberFormat="1" applyFont="1" applyFill="1" applyBorder="1" applyAlignment="1">
      <alignment horizontal="left" vertical="top"/>
    </xf>
    <xf numFmtId="14" fontId="24" fillId="0" borderId="1" xfId="0" applyNumberFormat="1" applyFont="1" applyFill="1" applyBorder="1" applyAlignment="1">
      <alignment horizontal="center" vertical="top"/>
    </xf>
    <xf numFmtId="0" fontId="23" fillId="0" borderId="0" xfId="1" applyFont="1" applyBorder="1" applyAlignment="1">
      <alignment vertical="top"/>
    </xf>
    <xf numFmtId="0" fontId="26" fillId="0" borderId="0" xfId="1" applyFont="1" applyBorder="1" applyAlignment="1">
      <alignment vertical="top"/>
    </xf>
    <xf numFmtId="0" fontId="26" fillId="0" borderId="0" xfId="1" applyFont="1" applyBorder="1" applyAlignment="1">
      <alignment horizontal="center" vertical="top"/>
    </xf>
    <xf numFmtId="0" fontId="27" fillId="0" borderId="0" xfId="1" applyFont="1" applyBorder="1" applyAlignment="1">
      <alignment horizontal="center" vertical="top"/>
    </xf>
    <xf numFmtId="3" fontId="2" fillId="0" borderId="0" xfId="1" applyNumberFormat="1" applyFont="1" applyBorder="1" applyAlignment="1">
      <alignment vertical="top"/>
    </xf>
    <xf numFmtId="0" fontId="28" fillId="0" borderId="0" xfId="1" applyFont="1" applyFill="1" applyBorder="1" applyAlignment="1">
      <alignment horizontal="center" vertical="top" wrapText="1"/>
    </xf>
    <xf numFmtId="0" fontId="23" fillId="0" borderId="4" xfId="0" applyFont="1" applyFill="1" applyBorder="1" applyAlignment="1" applyProtection="1">
      <alignment horizontal="center" vertical="top"/>
      <protection locked="0"/>
    </xf>
    <xf numFmtId="0" fontId="23" fillId="0" borderId="2" xfId="0" applyFont="1" applyFill="1" applyBorder="1" applyAlignment="1" applyProtection="1">
      <alignment horizontal="center" vertical="top"/>
      <protection locked="0"/>
    </xf>
    <xf numFmtId="0" fontId="21" fillId="2" borderId="1" xfId="0" applyFont="1" applyFill="1" applyBorder="1" applyAlignment="1">
      <alignment horizontal="center" vertical="top"/>
    </xf>
    <xf numFmtId="3" fontId="21" fillId="2" borderId="1" xfId="0" applyNumberFormat="1" applyFont="1" applyFill="1" applyBorder="1" applyAlignment="1">
      <alignment horizontal="right" vertical="top"/>
    </xf>
    <xf numFmtId="166" fontId="3" fillId="2" borderId="1" xfId="0" applyNumberFormat="1" applyFont="1" applyFill="1" applyBorder="1" applyAlignment="1">
      <alignment horizontal="center" vertical="top"/>
    </xf>
    <xf numFmtId="14" fontId="3" fillId="2" borderId="1" xfId="0" applyNumberFormat="1" applyFont="1" applyFill="1" applyBorder="1" applyAlignment="1">
      <alignment horizontal="center" vertical="top"/>
    </xf>
    <xf numFmtId="165" fontId="21" fillId="2" borderId="1" xfId="0" applyNumberFormat="1" applyFont="1" applyFill="1" applyBorder="1" applyAlignment="1">
      <alignment horizontal="center" vertical="top"/>
    </xf>
    <xf numFmtId="4" fontId="21" fillId="2" borderId="1" xfId="0" applyNumberFormat="1" applyFont="1" applyFill="1" applyBorder="1" applyAlignment="1">
      <alignment horizontal="right" vertical="top"/>
    </xf>
    <xf numFmtId="4" fontId="21" fillId="2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3" fontId="3" fillId="4" borderId="1" xfId="0" applyNumberFormat="1" applyFont="1" applyFill="1" applyBorder="1" applyAlignment="1">
      <alignment horizontal="center" vertical="top" wrapText="1"/>
    </xf>
    <xf numFmtId="165" fontId="3" fillId="4" borderId="1" xfId="0" applyNumberFormat="1" applyFont="1" applyFill="1" applyBorder="1" applyAlignment="1">
      <alignment horizontal="center" vertical="top" wrapText="1"/>
    </xf>
    <xf numFmtId="4" fontId="3" fillId="4" borderId="1" xfId="0" applyNumberFormat="1" applyFont="1" applyFill="1" applyBorder="1" applyAlignment="1">
      <alignment horizontal="center" vertical="top" wrapText="1"/>
    </xf>
    <xf numFmtId="4" fontId="3" fillId="5" borderId="1" xfId="0" applyNumberFormat="1" applyFont="1" applyFill="1" applyBorder="1" applyAlignment="1">
      <alignment horizontal="center" vertical="top" wrapText="1"/>
    </xf>
    <xf numFmtId="0" fontId="21" fillId="6" borderId="1" xfId="0" applyFont="1" applyFill="1" applyBorder="1" applyAlignment="1">
      <alignment horizontal="center" vertical="top" wrapText="1"/>
    </xf>
    <xf numFmtId="4" fontId="21" fillId="6" borderId="1" xfId="0" applyNumberFormat="1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49" fontId="3" fillId="3" borderId="1" xfId="0" applyNumberFormat="1" applyFont="1" applyFill="1" applyBorder="1" applyAlignment="1">
      <alignment horizontal="center" vertical="top"/>
    </xf>
    <xf numFmtId="49" fontId="3" fillId="4" borderId="1" xfId="0" applyNumberFormat="1" applyFont="1" applyFill="1" applyBorder="1" applyAlignment="1">
      <alignment horizontal="center" vertical="top"/>
    </xf>
    <xf numFmtId="49" fontId="3" fillId="4" borderId="1" xfId="0" applyNumberFormat="1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49" fontId="3" fillId="5" borderId="1" xfId="0" applyNumberFormat="1" applyFont="1" applyFill="1" applyBorder="1" applyAlignment="1">
      <alignment horizontal="center" vertical="top"/>
    </xf>
    <xf numFmtId="49" fontId="3" fillId="6" borderId="1" xfId="0" applyNumberFormat="1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 wrapText="1"/>
    </xf>
    <xf numFmtId="49" fontId="3" fillId="7" borderId="1" xfId="0" applyNumberFormat="1" applyFont="1" applyFill="1" applyBorder="1" applyAlignment="1">
      <alignment horizontal="center" vertical="top"/>
    </xf>
    <xf numFmtId="49" fontId="3" fillId="0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14" fontId="3" fillId="0" borderId="1" xfId="0" applyNumberFormat="1" applyFont="1" applyFill="1" applyBorder="1" applyAlignment="1">
      <alignment horizontal="center" vertical="top"/>
    </xf>
    <xf numFmtId="3" fontId="3" fillId="0" borderId="1" xfId="0" applyNumberFormat="1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center" vertical="top"/>
    </xf>
    <xf numFmtId="166" fontId="3" fillId="0" borderId="1" xfId="0" applyNumberFormat="1" applyFont="1" applyFill="1" applyBorder="1" applyAlignment="1">
      <alignment horizontal="right" vertical="top"/>
    </xf>
    <xf numFmtId="4" fontId="3" fillId="0" borderId="1" xfId="0" applyNumberFormat="1" applyFont="1" applyFill="1" applyBorder="1" applyAlignment="1">
      <alignment horizontal="right" vertical="top"/>
    </xf>
    <xf numFmtId="165" fontId="3" fillId="0" borderId="1" xfId="0" applyNumberFormat="1" applyFont="1" applyFill="1" applyBorder="1" applyAlignment="1">
      <alignment horizontal="right" vertical="top"/>
    </xf>
    <xf numFmtId="0" fontId="20" fillId="0" borderId="0" xfId="0" applyFont="1" applyAlignment="1">
      <alignment vertical="top"/>
    </xf>
    <xf numFmtId="49" fontId="3" fillId="0" borderId="0" xfId="1" applyNumberFormat="1" applyFont="1" applyAlignment="1">
      <alignment horizontal="left" vertical="top"/>
    </xf>
    <xf numFmtId="0" fontId="3" fillId="0" borderId="0" xfId="0" applyFont="1"/>
    <xf numFmtId="0" fontId="3" fillId="0" borderId="0" xfId="1" applyFont="1" applyAlignment="1">
      <alignment vertical="top"/>
    </xf>
  </cellXfs>
  <cellStyles count="5">
    <cellStyle name="Обычный" xfId="0" builtinId="0"/>
    <cellStyle name="Обычный 10" xfId="1" xr:uid="{00000000-0005-0000-0000-000001000000}"/>
    <cellStyle name="Обычный 2" xfId="2" xr:uid="{00000000-0005-0000-0000-000002000000}"/>
    <cellStyle name="Финансовый 2" xfId="3" xr:uid="{00000000-0005-0000-0000-000003000000}"/>
    <cellStyle name="Финансовый 3" xfId="4" xr:uid="{00000000-0005-0000-0000-000004000000}"/>
  </cellStyles>
  <dxfs count="10">
    <dxf>
      <fill>
        <patternFill>
          <bgColor indexed="19"/>
        </patternFill>
      </fill>
    </dxf>
    <dxf>
      <fill>
        <patternFill>
          <bgColor indexed="19"/>
        </patternFill>
      </fill>
    </dxf>
    <dxf>
      <fill>
        <patternFill>
          <bgColor indexed="19"/>
        </patternFill>
      </fill>
    </dxf>
    <dxf>
      <fill>
        <patternFill>
          <bgColor indexed="19"/>
        </patternFill>
      </fill>
    </dxf>
    <dxf>
      <font>
        <condense val="0"/>
        <extend val="0"/>
        <color auto="1"/>
      </font>
      <fill>
        <patternFill>
          <bgColor indexed="19"/>
        </patternFill>
      </fill>
    </dxf>
    <dxf>
      <fill>
        <patternFill>
          <bgColor indexed="19"/>
        </patternFill>
      </fill>
    </dxf>
    <dxf>
      <fill>
        <patternFill>
          <bgColor indexed="19"/>
        </patternFill>
      </fill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5"/>
  <sheetViews>
    <sheetView showGridLines="0" tabSelected="1" zoomScaleNormal="100" workbookViewId="0">
      <selection activeCell="F17" sqref="F17"/>
    </sheetView>
  </sheetViews>
  <sheetFormatPr defaultRowHeight="15" x14ac:dyDescent="0.25"/>
  <cols>
    <col min="1" max="1" width="17.85546875" style="35" customWidth="1"/>
    <col min="2" max="2" width="16.5703125" style="35" customWidth="1"/>
    <col min="3" max="3" width="15.85546875" style="35" customWidth="1"/>
    <col min="4" max="5" width="15.7109375" style="35" customWidth="1"/>
    <col min="6" max="7" width="10.7109375" style="35" customWidth="1"/>
    <col min="8" max="12" width="15.7109375" style="35" customWidth="1"/>
    <col min="13" max="13" width="10.7109375" style="35" customWidth="1"/>
    <col min="14" max="15" width="25.28515625" style="35" customWidth="1"/>
    <col min="16" max="16" width="15.7109375" style="35" customWidth="1"/>
    <col min="17" max="17" width="18" style="35" customWidth="1"/>
    <col min="18" max="18" width="21" style="35" customWidth="1"/>
    <col min="19" max="19" width="18.7109375" style="35" customWidth="1"/>
    <col min="20" max="20" width="15.7109375" style="35" customWidth="1"/>
    <col min="21" max="21" width="23.7109375" style="35" customWidth="1"/>
    <col min="22" max="24" width="15.7109375" style="35" customWidth="1"/>
    <col min="25" max="25" width="21.85546875" style="35" customWidth="1"/>
    <col min="26" max="26" width="15.7109375" style="35" customWidth="1"/>
    <col min="27" max="27" width="17.140625" style="35" customWidth="1"/>
    <col min="28" max="31" width="15.7109375" style="35" customWidth="1"/>
    <col min="32" max="32" width="16.7109375" style="35" customWidth="1"/>
    <col min="33" max="53" width="15.7109375" style="35" customWidth="1"/>
    <col min="54" max="57" width="18.7109375" style="35" customWidth="1"/>
    <col min="58" max="60" width="15.7109375" style="35" customWidth="1"/>
    <col min="61" max="61" width="35.7109375" style="35" customWidth="1"/>
    <col min="62" max="65" width="12.7109375" style="35" customWidth="1"/>
    <col min="66" max="16384" width="9.140625" style="35"/>
  </cols>
  <sheetData>
    <row r="1" spans="1:61" ht="18" customHeight="1" x14ac:dyDescent="0.25">
      <c r="A1" s="119" t="s">
        <v>0</v>
      </c>
    </row>
    <row r="2" spans="1:61" ht="18" customHeight="1" x14ac:dyDescent="0.25">
      <c r="A2" s="120"/>
      <c r="B2" s="121"/>
      <c r="C2" s="121"/>
      <c r="D2" s="121"/>
      <c r="E2" s="122"/>
      <c r="F2" s="122"/>
      <c r="G2" s="123"/>
      <c r="H2" s="1"/>
    </row>
    <row r="3" spans="1:61" ht="18" customHeight="1" x14ac:dyDescent="0.25">
      <c r="A3" s="2" t="s">
        <v>251</v>
      </c>
      <c r="B3" s="124"/>
      <c r="C3" s="125" t="s">
        <v>30</v>
      </c>
      <c r="D3" s="126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4"/>
      <c r="BF3" s="124"/>
      <c r="BG3" s="124"/>
    </row>
    <row r="4" spans="1:61" ht="18" customHeight="1" x14ac:dyDescent="0.25"/>
    <row r="5" spans="1:61" ht="18" customHeight="1" x14ac:dyDescent="0.25">
      <c r="A5" s="127" t="s">
        <v>252</v>
      </c>
      <c r="B5" s="127" t="s">
        <v>157</v>
      </c>
      <c r="C5" s="127" t="s">
        <v>157</v>
      </c>
      <c r="D5" s="127" t="s">
        <v>157</v>
      </c>
      <c r="E5" s="127" t="s">
        <v>157</v>
      </c>
      <c r="F5" s="127" t="s">
        <v>157</v>
      </c>
      <c r="G5" s="127" t="s">
        <v>157</v>
      </c>
      <c r="H5" s="128">
        <v>0</v>
      </c>
      <c r="I5" s="128">
        <v>0</v>
      </c>
      <c r="J5" s="128">
        <v>0</v>
      </c>
      <c r="K5" s="128">
        <v>0</v>
      </c>
      <c r="L5" s="128">
        <v>0</v>
      </c>
      <c r="M5" s="127" t="s">
        <v>157</v>
      </c>
      <c r="N5" s="129" t="s">
        <v>157</v>
      </c>
      <c r="O5" s="129" t="s">
        <v>157</v>
      </c>
      <c r="P5" s="129" t="s">
        <v>157</v>
      </c>
      <c r="Q5" s="127" t="s">
        <v>157</v>
      </c>
      <c r="R5" s="127" t="s">
        <v>157</v>
      </c>
      <c r="S5" s="127" t="s">
        <v>157</v>
      </c>
      <c r="T5" s="130" t="s">
        <v>157</v>
      </c>
      <c r="U5" s="127" t="s">
        <v>157</v>
      </c>
      <c r="V5" s="127" t="s">
        <v>157</v>
      </c>
      <c r="W5" s="127" t="s">
        <v>157</v>
      </c>
      <c r="X5" s="131" t="s">
        <v>157</v>
      </c>
      <c r="Y5" s="132">
        <v>0</v>
      </c>
      <c r="Z5" s="132">
        <v>0</v>
      </c>
      <c r="AA5" s="132">
        <v>0</v>
      </c>
      <c r="AB5" s="132">
        <v>0</v>
      </c>
      <c r="AC5" s="132">
        <v>0</v>
      </c>
      <c r="AD5" s="132">
        <v>0</v>
      </c>
      <c r="AE5" s="132">
        <v>0</v>
      </c>
      <c r="AF5" s="133" t="s">
        <v>157</v>
      </c>
      <c r="AG5" s="133" t="s">
        <v>157</v>
      </c>
      <c r="AH5" s="133" t="s">
        <v>157</v>
      </c>
      <c r="AI5" s="133" t="s">
        <v>157</v>
      </c>
      <c r="AJ5" s="133" t="s">
        <v>157</v>
      </c>
      <c r="AK5" s="132">
        <v>0</v>
      </c>
      <c r="AL5" s="132">
        <v>0</v>
      </c>
      <c r="AM5" s="132">
        <v>0</v>
      </c>
      <c r="AN5" s="132">
        <v>0</v>
      </c>
      <c r="AO5" s="132">
        <v>0</v>
      </c>
      <c r="AP5" s="132">
        <v>0</v>
      </c>
      <c r="AQ5" s="132">
        <v>0</v>
      </c>
      <c r="AR5" s="132">
        <v>0</v>
      </c>
      <c r="AS5" s="132">
        <v>0</v>
      </c>
      <c r="AT5" s="132">
        <v>0</v>
      </c>
      <c r="AU5" s="132">
        <v>0</v>
      </c>
      <c r="AV5" s="132">
        <v>0</v>
      </c>
      <c r="AW5" s="132">
        <v>0</v>
      </c>
      <c r="AX5" s="132">
        <v>0</v>
      </c>
      <c r="AY5" s="132">
        <v>0</v>
      </c>
      <c r="AZ5" s="132">
        <v>0</v>
      </c>
      <c r="BA5" s="132">
        <v>0</v>
      </c>
      <c r="BB5" s="132">
        <v>0</v>
      </c>
      <c r="BC5" s="132">
        <v>0</v>
      </c>
      <c r="BD5" s="132">
        <v>0</v>
      </c>
      <c r="BE5" s="132">
        <v>0</v>
      </c>
      <c r="BF5" s="127" t="s">
        <v>157</v>
      </c>
      <c r="BG5" s="127" t="s">
        <v>157</v>
      </c>
      <c r="BH5" s="127" t="s">
        <v>157</v>
      </c>
      <c r="BI5" s="127" t="s">
        <v>157</v>
      </c>
    </row>
    <row r="6" spans="1:61" ht="134.25" customHeight="1" x14ac:dyDescent="0.25">
      <c r="A6" s="134" t="s">
        <v>253</v>
      </c>
      <c r="B6" s="134" t="s">
        <v>2</v>
      </c>
      <c r="C6" s="134" t="s">
        <v>3</v>
      </c>
      <c r="D6" s="134" t="s">
        <v>4</v>
      </c>
      <c r="E6" s="134" t="s">
        <v>5</v>
      </c>
      <c r="F6" s="135" t="s">
        <v>6</v>
      </c>
      <c r="G6" s="135" t="s">
        <v>7</v>
      </c>
      <c r="H6" s="136" t="s">
        <v>8</v>
      </c>
      <c r="I6" s="136" t="s">
        <v>9</v>
      </c>
      <c r="J6" s="136" t="s">
        <v>10</v>
      </c>
      <c r="K6" s="136" t="s">
        <v>11</v>
      </c>
      <c r="L6" s="136" t="s">
        <v>12</v>
      </c>
      <c r="M6" s="135" t="s">
        <v>13</v>
      </c>
      <c r="N6" s="135" t="s">
        <v>14</v>
      </c>
      <c r="O6" s="135" t="s">
        <v>15</v>
      </c>
      <c r="P6" s="135" t="s">
        <v>16</v>
      </c>
      <c r="Q6" s="135" t="s">
        <v>17</v>
      </c>
      <c r="R6" s="135" t="s">
        <v>498</v>
      </c>
      <c r="S6" s="135" t="s">
        <v>18</v>
      </c>
      <c r="T6" s="135" t="s">
        <v>482</v>
      </c>
      <c r="U6" s="135" t="s">
        <v>499</v>
      </c>
      <c r="V6" s="135" t="s">
        <v>500</v>
      </c>
      <c r="W6" s="135" t="s">
        <v>19</v>
      </c>
      <c r="X6" s="137" t="s">
        <v>20</v>
      </c>
      <c r="Y6" s="138" t="s">
        <v>501</v>
      </c>
      <c r="Z6" s="138" t="s">
        <v>502</v>
      </c>
      <c r="AA6" s="138" t="s">
        <v>503</v>
      </c>
      <c r="AB6" s="138" t="s">
        <v>504</v>
      </c>
      <c r="AC6" s="138" t="s">
        <v>495</v>
      </c>
      <c r="AD6" s="138" t="s">
        <v>496</v>
      </c>
      <c r="AE6" s="138" t="s">
        <v>497</v>
      </c>
      <c r="AF6" s="139" t="s">
        <v>505</v>
      </c>
      <c r="AG6" s="139" t="s">
        <v>506</v>
      </c>
      <c r="AH6" s="139" t="s">
        <v>507</v>
      </c>
      <c r="AI6" s="139" t="s">
        <v>508</v>
      </c>
      <c r="AJ6" s="139" t="s">
        <v>509</v>
      </c>
      <c r="AK6" s="139" t="s">
        <v>510</v>
      </c>
      <c r="AL6" s="139" t="s">
        <v>511</v>
      </c>
      <c r="AM6" s="139" t="s">
        <v>512</v>
      </c>
      <c r="AN6" s="139" t="s">
        <v>513</v>
      </c>
      <c r="AO6" s="139" t="s">
        <v>514</v>
      </c>
      <c r="AP6" s="139" t="s">
        <v>515</v>
      </c>
      <c r="AQ6" s="139" t="s">
        <v>516</v>
      </c>
      <c r="AR6" s="139" t="s">
        <v>517</v>
      </c>
      <c r="AS6" s="139" t="s">
        <v>518</v>
      </c>
      <c r="AT6" s="139" t="s">
        <v>519</v>
      </c>
      <c r="AU6" s="139" t="s">
        <v>520</v>
      </c>
      <c r="AV6" s="139" t="s">
        <v>521</v>
      </c>
      <c r="AW6" s="139" t="s">
        <v>522</v>
      </c>
      <c r="AX6" s="139" t="s">
        <v>523</v>
      </c>
      <c r="AY6" s="139" t="s">
        <v>524</v>
      </c>
      <c r="AZ6" s="139" t="s">
        <v>525</v>
      </c>
      <c r="BA6" s="139" t="s">
        <v>526</v>
      </c>
      <c r="BB6" s="139" t="s">
        <v>527</v>
      </c>
      <c r="BC6" s="140" t="s">
        <v>528</v>
      </c>
      <c r="BD6" s="141" t="s">
        <v>529</v>
      </c>
      <c r="BE6" s="141" t="s">
        <v>254</v>
      </c>
      <c r="BF6" s="142" t="s">
        <v>21</v>
      </c>
      <c r="BG6" s="142" t="s">
        <v>22</v>
      </c>
      <c r="BH6" s="142" t="s">
        <v>23</v>
      </c>
      <c r="BI6" s="134" t="s">
        <v>477</v>
      </c>
    </row>
    <row r="7" spans="1:61" ht="15.75" customHeight="1" x14ac:dyDescent="0.25">
      <c r="A7" s="134" t="s">
        <v>255</v>
      </c>
      <c r="B7" s="143" t="s">
        <v>256</v>
      </c>
      <c r="C7" s="134" t="s">
        <v>257</v>
      </c>
      <c r="D7" s="143" t="s">
        <v>258</v>
      </c>
      <c r="E7" s="134" t="s">
        <v>259</v>
      </c>
      <c r="F7" s="144" t="s">
        <v>260</v>
      </c>
      <c r="G7" s="135" t="s">
        <v>261</v>
      </c>
      <c r="H7" s="144" t="s">
        <v>262</v>
      </c>
      <c r="I7" s="144" t="s">
        <v>263</v>
      </c>
      <c r="J7" s="135" t="s">
        <v>264</v>
      </c>
      <c r="K7" s="144" t="s">
        <v>265</v>
      </c>
      <c r="L7" s="144" t="s">
        <v>266</v>
      </c>
      <c r="M7" s="135" t="s">
        <v>267</v>
      </c>
      <c r="N7" s="144" t="s">
        <v>268</v>
      </c>
      <c r="O7" s="144" t="s">
        <v>269</v>
      </c>
      <c r="P7" s="135" t="s">
        <v>270</v>
      </c>
      <c r="Q7" s="144" t="s">
        <v>271</v>
      </c>
      <c r="R7" s="144" t="s">
        <v>272</v>
      </c>
      <c r="S7" s="135" t="s">
        <v>273</v>
      </c>
      <c r="T7" s="144" t="s">
        <v>274</v>
      </c>
      <c r="U7" s="144" t="s">
        <v>275</v>
      </c>
      <c r="V7" s="135" t="s">
        <v>276</v>
      </c>
      <c r="W7" s="144" t="s">
        <v>277</v>
      </c>
      <c r="X7" s="144" t="s">
        <v>278</v>
      </c>
      <c r="Y7" s="135" t="s">
        <v>279</v>
      </c>
      <c r="Z7" s="144" t="s">
        <v>280</v>
      </c>
      <c r="AA7" s="144" t="s">
        <v>281</v>
      </c>
      <c r="AB7" s="135" t="s">
        <v>282</v>
      </c>
      <c r="AC7" s="145" t="s">
        <v>492</v>
      </c>
      <c r="AD7" s="145" t="s">
        <v>493</v>
      </c>
      <c r="AE7" s="145" t="s">
        <v>494</v>
      </c>
      <c r="AF7" s="146" t="s">
        <v>283</v>
      </c>
      <c r="AG7" s="147" t="s">
        <v>284</v>
      </c>
      <c r="AH7" s="147" t="s">
        <v>285</v>
      </c>
      <c r="AI7" s="146" t="s">
        <v>286</v>
      </c>
      <c r="AJ7" s="147" t="s">
        <v>287</v>
      </c>
      <c r="AK7" s="147" t="s">
        <v>288</v>
      </c>
      <c r="AL7" s="146" t="s">
        <v>289</v>
      </c>
      <c r="AM7" s="147" t="s">
        <v>290</v>
      </c>
      <c r="AN7" s="147" t="s">
        <v>291</v>
      </c>
      <c r="AO7" s="146" t="s">
        <v>292</v>
      </c>
      <c r="AP7" s="147" t="s">
        <v>293</v>
      </c>
      <c r="AQ7" s="147" t="s">
        <v>294</v>
      </c>
      <c r="AR7" s="146" t="s">
        <v>295</v>
      </c>
      <c r="AS7" s="147" t="s">
        <v>296</v>
      </c>
      <c r="AT7" s="147" t="s">
        <v>297</v>
      </c>
      <c r="AU7" s="146" t="s">
        <v>298</v>
      </c>
      <c r="AV7" s="147" t="s">
        <v>299</v>
      </c>
      <c r="AW7" s="147" t="s">
        <v>300</v>
      </c>
      <c r="AX7" s="147" t="s">
        <v>301</v>
      </c>
      <c r="AY7" s="147" t="s">
        <v>302</v>
      </c>
      <c r="AZ7" s="146" t="s">
        <v>303</v>
      </c>
      <c r="BA7" s="146" t="s">
        <v>304</v>
      </c>
      <c r="BB7" s="147" t="s">
        <v>305</v>
      </c>
      <c r="BC7" s="148" t="s">
        <v>306</v>
      </c>
      <c r="BD7" s="149" t="s">
        <v>307</v>
      </c>
      <c r="BE7" s="148" t="s">
        <v>308</v>
      </c>
      <c r="BF7" s="142" t="s">
        <v>309</v>
      </c>
      <c r="BG7" s="150" t="s">
        <v>310</v>
      </c>
      <c r="BH7" s="142" t="s">
        <v>311</v>
      </c>
      <c r="BI7" s="134" t="s">
        <v>478</v>
      </c>
    </row>
    <row r="8" spans="1:61" ht="15.75" customHeight="1" x14ac:dyDescent="0.25">
      <c r="A8" s="151" t="s">
        <v>312</v>
      </c>
      <c r="B8" s="151" t="s">
        <v>31</v>
      </c>
      <c r="C8" s="151" t="s">
        <v>32</v>
      </c>
      <c r="D8" s="151" t="s">
        <v>33</v>
      </c>
      <c r="E8" s="152" t="s">
        <v>476</v>
      </c>
      <c r="F8" s="153" t="s">
        <v>35</v>
      </c>
      <c r="G8" s="153" t="s">
        <v>36</v>
      </c>
      <c r="H8" s="154" t="s">
        <v>37</v>
      </c>
      <c r="I8" s="154" t="s">
        <v>38</v>
      </c>
      <c r="J8" s="154" t="s">
        <v>39</v>
      </c>
      <c r="K8" s="154" t="s">
        <v>40</v>
      </c>
      <c r="L8" s="154" t="s">
        <v>41</v>
      </c>
      <c r="M8" s="155" t="s">
        <v>42</v>
      </c>
      <c r="N8" s="156" t="s">
        <v>43</v>
      </c>
      <c r="O8" s="156" t="s">
        <v>56</v>
      </c>
      <c r="P8" s="156" t="s">
        <v>44</v>
      </c>
      <c r="Q8" s="157" t="s">
        <v>45</v>
      </c>
      <c r="R8" s="157" t="s">
        <v>46</v>
      </c>
      <c r="S8" s="157" t="s">
        <v>47</v>
      </c>
      <c r="T8" s="153" t="s">
        <v>48</v>
      </c>
      <c r="U8" s="157" t="s">
        <v>57</v>
      </c>
      <c r="V8" s="157" t="s">
        <v>58</v>
      </c>
      <c r="W8" s="158" t="s">
        <v>49</v>
      </c>
      <c r="X8" s="158" t="s">
        <v>60</v>
      </c>
      <c r="Y8" s="157" t="s">
        <v>50</v>
      </c>
      <c r="Z8" s="157" t="s">
        <v>51</v>
      </c>
      <c r="AA8" s="157" t="s">
        <v>61</v>
      </c>
      <c r="AB8" s="157" t="s">
        <v>62</v>
      </c>
      <c r="AC8" s="157" t="s">
        <v>490</v>
      </c>
      <c r="AD8" s="157" t="s">
        <v>489</v>
      </c>
      <c r="AE8" s="157" t="s">
        <v>491</v>
      </c>
      <c r="AF8" s="157" t="s">
        <v>63</v>
      </c>
      <c r="AG8" s="157" t="s">
        <v>64</v>
      </c>
      <c r="AH8" s="157" t="s">
        <v>313</v>
      </c>
      <c r="AI8" s="157" t="s">
        <v>314</v>
      </c>
      <c r="AJ8" s="157" t="s">
        <v>315</v>
      </c>
      <c r="AK8" s="157" t="s">
        <v>65</v>
      </c>
      <c r="AL8" s="157" t="s">
        <v>59</v>
      </c>
      <c r="AM8" s="157" t="s">
        <v>316</v>
      </c>
      <c r="AN8" s="157" t="s">
        <v>317</v>
      </c>
      <c r="AO8" s="157" t="s">
        <v>318</v>
      </c>
      <c r="AP8" s="157" t="s">
        <v>319</v>
      </c>
      <c r="AQ8" s="157" t="s">
        <v>320</v>
      </c>
      <c r="AR8" s="157" t="s">
        <v>321</v>
      </c>
      <c r="AS8" s="157" t="s">
        <v>322</v>
      </c>
      <c r="AT8" s="157" t="s">
        <v>323</v>
      </c>
      <c r="AU8" s="157" t="s">
        <v>324</v>
      </c>
      <c r="AV8" s="157" t="s">
        <v>325</v>
      </c>
      <c r="AW8" s="157" t="s">
        <v>326</v>
      </c>
      <c r="AX8" s="157" t="s">
        <v>327</v>
      </c>
      <c r="AY8" s="157" t="s">
        <v>328</v>
      </c>
      <c r="AZ8" s="157" t="s">
        <v>329</v>
      </c>
      <c r="BA8" s="157" t="s">
        <v>330</v>
      </c>
      <c r="BB8" s="157" t="s">
        <v>331</v>
      </c>
      <c r="BC8" s="157" t="s">
        <v>332</v>
      </c>
      <c r="BD8" s="157" t="s">
        <v>333</v>
      </c>
      <c r="BE8" s="157" t="s">
        <v>52</v>
      </c>
      <c r="BF8" s="152" t="s">
        <v>53</v>
      </c>
      <c r="BG8" s="155" t="s">
        <v>54</v>
      </c>
      <c r="BH8" s="152" t="s">
        <v>55</v>
      </c>
      <c r="BI8" s="151" t="s">
        <v>34</v>
      </c>
    </row>
    <row r="9" spans="1:61" x14ac:dyDescent="0.25">
      <c r="E9" s="159"/>
    </row>
    <row r="11" spans="1:61" x14ac:dyDescent="0.25">
      <c r="A11" s="160" t="s">
        <v>24</v>
      </c>
      <c r="B11" s="161"/>
      <c r="C11" s="160" t="s">
        <v>25</v>
      </c>
    </row>
    <row r="12" spans="1:61" x14ac:dyDescent="0.25">
      <c r="A12" s="161"/>
      <c r="B12" s="162" t="s">
        <v>26</v>
      </c>
      <c r="C12" s="3" t="s">
        <v>27</v>
      </c>
    </row>
    <row r="13" spans="1:61" x14ac:dyDescent="0.25">
      <c r="A13" s="161"/>
      <c r="B13" s="161"/>
      <c r="C13" s="161"/>
    </row>
    <row r="14" spans="1:61" x14ac:dyDescent="0.25">
      <c r="A14" s="160" t="s">
        <v>28</v>
      </c>
      <c r="B14" s="161"/>
      <c r="C14" s="4" t="s">
        <v>29</v>
      </c>
    </row>
    <row r="15" spans="1:61" x14ac:dyDescent="0.25">
      <c r="A15" s="161"/>
      <c r="B15" s="162" t="s">
        <v>26</v>
      </c>
      <c r="C15" s="3" t="s">
        <v>27</v>
      </c>
    </row>
  </sheetData>
  <mergeCells count="1">
    <mergeCell ref="C3:D3"/>
  </mergeCells>
  <conditionalFormatting sqref="AD8:AE8">
    <cfRule type="expression" dxfId="9" priority="2" stopIfTrue="1">
      <formula>#REF!=0</formula>
    </cfRule>
  </conditionalFormatting>
  <conditionalFormatting sqref="AC8">
    <cfRule type="expression" dxfId="8" priority="1" stopIfTrue="1">
      <formula>#REF!=0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18"/>
  <sheetViews>
    <sheetView showGridLines="0" zoomScaleNormal="100" workbookViewId="0">
      <selection activeCell="A2" sqref="A2"/>
    </sheetView>
  </sheetViews>
  <sheetFormatPr defaultColWidth="10.28515625" defaultRowHeight="15.75" x14ac:dyDescent="0.25"/>
  <cols>
    <col min="1" max="1" width="23" style="63" customWidth="1"/>
    <col min="2" max="5" width="15.7109375" style="63" customWidth="1"/>
    <col min="6" max="7" width="20.7109375" style="63" customWidth="1"/>
    <col min="8" max="8" width="22.28515625" style="63" customWidth="1"/>
    <col min="9" max="9" width="23.28515625" style="63" customWidth="1"/>
    <col min="10" max="16" width="20.7109375" style="63" customWidth="1"/>
    <col min="17" max="17" width="25.85546875" style="63" customWidth="1"/>
    <col min="18" max="22" width="20.7109375" style="63" customWidth="1"/>
    <col min="23" max="23" width="17" style="63" customWidth="1"/>
    <col min="24" max="29" width="20.7109375" style="63" customWidth="1"/>
    <col min="30" max="30" width="21.28515625" style="63" customWidth="1"/>
    <col min="31" max="58" width="20.7109375" style="63" customWidth="1"/>
    <col min="59" max="76" width="20.7109375" style="67" customWidth="1"/>
    <col min="77" max="84" width="18.7109375" style="67" customWidth="1"/>
    <col min="85" max="101" width="18.7109375" style="63" customWidth="1"/>
    <col min="102" max="102" width="35.7109375" style="63" customWidth="1"/>
    <col min="103" max="103" width="16" style="63" customWidth="1"/>
    <col min="104" max="16384" width="10.28515625" style="63"/>
  </cols>
  <sheetData>
    <row r="1" spans="1:103" s="56" customFormat="1" ht="15" customHeight="1" x14ac:dyDescent="0.3">
      <c r="A1" s="55" t="s">
        <v>66</v>
      </c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</row>
    <row r="2" spans="1:103" s="60" customFormat="1" ht="15" customHeight="1" x14ac:dyDescent="0.25">
      <c r="A2" s="59"/>
      <c r="Z2" s="61"/>
      <c r="AA2" s="61"/>
      <c r="AB2" s="61"/>
      <c r="AC2" s="61"/>
      <c r="AD2" s="61"/>
      <c r="AE2" s="61"/>
      <c r="AF2" s="61"/>
      <c r="AG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</row>
    <row r="3" spans="1:103" ht="15" customHeight="1" x14ac:dyDescent="0.3">
      <c r="B3" s="64" t="s">
        <v>1</v>
      </c>
      <c r="C3" s="65" t="s">
        <v>161</v>
      </c>
      <c r="D3" s="66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</row>
    <row r="4" spans="1:103" ht="15" customHeight="1" x14ac:dyDescent="0.25">
      <c r="F4" s="68" t="s">
        <v>334</v>
      </c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</row>
    <row r="5" spans="1:103" ht="15" customHeight="1" x14ac:dyDescent="0.25">
      <c r="A5" s="69" t="s">
        <v>156</v>
      </c>
      <c r="B5" s="70" t="s">
        <v>157</v>
      </c>
      <c r="C5" s="70" t="s">
        <v>157</v>
      </c>
      <c r="D5" s="70" t="s">
        <v>157</v>
      </c>
      <c r="E5" s="70" t="s">
        <v>157</v>
      </c>
      <c r="F5" s="71">
        <f t="shared" ref="F5:V5" si="0">SUM(F11:F18)</f>
        <v>0</v>
      </c>
      <c r="G5" s="71">
        <f t="shared" si="0"/>
        <v>0</v>
      </c>
      <c r="H5" s="71">
        <f t="shared" si="0"/>
        <v>0</v>
      </c>
      <c r="I5" s="71">
        <f t="shared" si="0"/>
        <v>0</v>
      </c>
      <c r="J5" s="71">
        <f t="shared" si="0"/>
        <v>0</v>
      </c>
      <c r="K5" s="71">
        <f t="shared" si="0"/>
        <v>0</v>
      </c>
      <c r="L5" s="71">
        <f t="shared" si="0"/>
        <v>0</v>
      </c>
      <c r="M5" s="71">
        <f t="shared" si="0"/>
        <v>0</v>
      </c>
      <c r="N5" s="71">
        <f t="shared" si="0"/>
        <v>0</v>
      </c>
      <c r="O5" s="71">
        <f t="shared" si="0"/>
        <v>0</v>
      </c>
      <c r="P5" s="71">
        <f t="shared" si="0"/>
        <v>0</v>
      </c>
      <c r="Q5" s="71">
        <f t="shared" si="0"/>
        <v>0</v>
      </c>
      <c r="R5" s="71">
        <f t="shared" si="0"/>
        <v>0</v>
      </c>
      <c r="S5" s="71">
        <f t="shared" si="0"/>
        <v>0</v>
      </c>
      <c r="T5" s="71">
        <f t="shared" si="0"/>
        <v>0</v>
      </c>
      <c r="U5" s="71">
        <f t="shared" si="0"/>
        <v>0</v>
      </c>
      <c r="V5" s="71">
        <f t="shared" si="0"/>
        <v>0</v>
      </c>
      <c r="W5" s="72" t="s">
        <v>157</v>
      </c>
      <c r="X5" s="71">
        <f t="shared" ref="X5:BC5" si="1">SUM(X11:X18)</f>
        <v>0</v>
      </c>
      <c r="Y5" s="71">
        <f t="shared" si="1"/>
        <v>0</v>
      </c>
      <c r="Z5" s="71">
        <f t="shared" si="1"/>
        <v>0</v>
      </c>
      <c r="AA5" s="71">
        <f t="shared" si="1"/>
        <v>0</v>
      </c>
      <c r="AB5" s="71">
        <f t="shared" si="1"/>
        <v>0</v>
      </c>
      <c r="AC5" s="71">
        <f t="shared" si="1"/>
        <v>0</v>
      </c>
      <c r="AD5" s="71">
        <f t="shared" si="1"/>
        <v>0</v>
      </c>
      <c r="AE5" s="71">
        <f t="shared" si="1"/>
        <v>0</v>
      </c>
      <c r="AF5" s="71">
        <f t="shared" si="1"/>
        <v>0</v>
      </c>
      <c r="AG5" s="71">
        <f t="shared" si="1"/>
        <v>0</v>
      </c>
      <c r="AH5" s="71">
        <f t="shared" si="1"/>
        <v>0</v>
      </c>
      <c r="AI5" s="71">
        <f t="shared" si="1"/>
        <v>0</v>
      </c>
      <c r="AJ5" s="71">
        <f t="shared" si="1"/>
        <v>0</v>
      </c>
      <c r="AK5" s="71">
        <f t="shared" si="1"/>
        <v>0</v>
      </c>
      <c r="AL5" s="71">
        <f t="shared" si="1"/>
        <v>0</v>
      </c>
      <c r="AM5" s="71">
        <f t="shared" si="1"/>
        <v>0</v>
      </c>
      <c r="AN5" s="71">
        <f t="shared" si="1"/>
        <v>0</v>
      </c>
      <c r="AO5" s="71">
        <f t="shared" si="1"/>
        <v>0</v>
      </c>
      <c r="AP5" s="71">
        <f t="shared" si="1"/>
        <v>0</v>
      </c>
      <c r="AQ5" s="71">
        <f t="shared" si="1"/>
        <v>0</v>
      </c>
      <c r="AR5" s="71">
        <f t="shared" si="1"/>
        <v>0</v>
      </c>
      <c r="AS5" s="71">
        <f t="shared" si="1"/>
        <v>0</v>
      </c>
      <c r="AT5" s="71">
        <f t="shared" si="1"/>
        <v>0</v>
      </c>
      <c r="AU5" s="71">
        <f t="shared" si="1"/>
        <v>0</v>
      </c>
      <c r="AV5" s="71">
        <f t="shared" si="1"/>
        <v>0</v>
      </c>
      <c r="AW5" s="71">
        <f t="shared" si="1"/>
        <v>0</v>
      </c>
      <c r="AX5" s="71">
        <f t="shared" si="1"/>
        <v>0</v>
      </c>
      <c r="AY5" s="71">
        <f t="shared" si="1"/>
        <v>0</v>
      </c>
      <c r="AZ5" s="71">
        <f t="shared" si="1"/>
        <v>0</v>
      </c>
      <c r="BA5" s="71">
        <f t="shared" si="1"/>
        <v>0</v>
      </c>
      <c r="BB5" s="71">
        <f t="shared" si="1"/>
        <v>0</v>
      </c>
      <c r="BC5" s="71">
        <f t="shared" si="1"/>
        <v>0</v>
      </c>
      <c r="BD5" s="71">
        <f t="shared" ref="BD5:BW5" si="2">SUM(BD11:BD18)</f>
        <v>0</v>
      </c>
      <c r="BE5" s="71">
        <f t="shared" si="2"/>
        <v>0</v>
      </c>
      <c r="BF5" s="71">
        <f t="shared" si="2"/>
        <v>0</v>
      </c>
      <c r="BG5" s="71">
        <f t="shared" si="2"/>
        <v>0</v>
      </c>
      <c r="BH5" s="71">
        <f t="shared" si="2"/>
        <v>0</v>
      </c>
      <c r="BI5" s="71">
        <f t="shared" si="2"/>
        <v>0</v>
      </c>
      <c r="BJ5" s="71">
        <f t="shared" si="2"/>
        <v>0</v>
      </c>
      <c r="BK5" s="71">
        <f t="shared" si="2"/>
        <v>0</v>
      </c>
      <c r="BL5" s="71">
        <f t="shared" si="2"/>
        <v>0</v>
      </c>
      <c r="BM5" s="71">
        <f t="shared" si="2"/>
        <v>0</v>
      </c>
      <c r="BN5" s="71">
        <f t="shared" si="2"/>
        <v>0</v>
      </c>
      <c r="BO5" s="71">
        <f t="shared" si="2"/>
        <v>0</v>
      </c>
      <c r="BP5" s="71">
        <f t="shared" si="2"/>
        <v>0</v>
      </c>
      <c r="BQ5" s="71">
        <f t="shared" si="2"/>
        <v>0</v>
      </c>
      <c r="BR5" s="71">
        <f t="shared" si="2"/>
        <v>0</v>
      </c>
      <c r="BS5" s="71">
        <f t="shared" si="2"/>
        <v>0</v>
      </c>
      <c r="BT5" s="71">
        <f t="shared" si="2"/>
        <v>0</v>
      </c>
      <c r="BU5" s="71">
        <f t="shared" si="2"/>
        <v>0</v>
      </c>
      <c r="BV5" s="71">
        <f t="shared" si="2"/>
        <v>0</v>
      </c>
      <c r="BW5" s="71">
        <f t="shared" si="2"/>
        <v>0</v>
      </c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</row>
    <row r="6" spans="1:103" ht="15" customHeight="1" x14ac:dyDescent="0.25">
      <c r="A6" s="74" t="s">
        <v>158</v>
      </c>
      <c r="B6" s="75" t="s">
        <v>157</v>
      </c>
      <c r="C6" s="75" t="s">
        <v>157</v>
      </c>
      <c r="D6" s="75" t="s">
        <v>157</v>
      </c>
      <c r="E6" s="75" t="s">
        <v>157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>
        <v>0</v>
      </c>
      <c r="L6" s="76">
        <v>0</v>
      </c>
      <c r="M6" s="76">
        <v>0</v>
      </c>
      <c r="N6" s="76">
        <v>0</v>
      </c>
      <c r="O6" s="76">
        <v>0</v>
      </c>
      <c r="P6" s="76">
        <v>0</v>
      </c>
      <c r="Q6" s="76">
        <v>0</v>
      </c>
      <c r="R6" s="76">
        <v>0</v>
      </c>
      <c r="S6" s="76">
        <v>0</v>
      </c>
      <c r="T6" s="76">
        <v>0</v>
      </c>
      <c r="U6" s="76">
        <v>0</v>
      </c>
      <c r="V6" s="76">
        <v>0</v>
      </c>
      <c r="W6" s="75" t="s">
        <v>157</v>
      </c>
      <c r="X6" s="76">
        <v>0</v>
      </c>
      <c r="Y6" s="76">
        <v>0</v>
      </c>
      <c r="Z6" s="76">
        <v>0</v>
      </c>
      <c r="AA6" s="76">
        <v>0</v>
      </c>
      <c r="AB6" s="76">
        <v>0</v>
      </c>
      <c r="AC6" s="76">
        <v>0</v>
      </c>
      <c r="AD6" s="76">
        <v>0</v>
      </c>
      <c r="AE6" s="76">
        <v>0</v>
      </c>
      <c r="AF6" s="76">
        <v>0</v>
      </c>
      <c r="AG6" s="76">
        <v>0</v>
      </c>
      <c r="AH6" s="76">
        <v>0</v>
      </c>
      <c r="AI6" s="76">
        <v>0</v>
      </c>
      <c r="AJ6" s="76">
        <v>0</v>
      </c>
      <c r="AK6" s="76">
        <v>0</v>
      </c>
      <c r="AL6" s="76">
        <v>0</v>
      </c>
      <c r="AM6" s="76">
        <v>0</v>
      </c>
      <c r="AN6" s="76">
        <v>0</v>
      </c>
      <c r="AO6" s="76">
        <v>0</v>
      </c>
      <c r="AP6" s="76">
        <v>0</v>
      </c>
      <c r="AQ6" s="76">
        <v>0</v>
      </c>
      <c r="AR6" s="76">
        <v>0</v>
      </c>
      <c r="AS6" s="76">
        <v>0</v>
      </c>
      <c r="AT6" s="76">
        <v>0</v>
      </c>
      <c r="AU6" s="76">
        <v>0</v>
      </c>
      <c r="AV6" s="76">
        <v>0</v>
      </c>
      <c r="AW6" s="76">
        <v>0</v>
      </c>
      <c r="AX6" s="76">
        <v>0</v>
      </c>
      <c r="AY6" s="76">
        <v>0</v>
      </c>
      <c r="AZ6" s="76">
        <v>0</v>
      </c>
      <c r="BA6" s="76">
        <v>0</v>
      </c>
      <c r="BB6" s="76">
        <v>0</v>
      </c>
      <c r="BC6" s="76">
        <v>0</v>
      </c>
      <c r="BD6" s="76">
        <v>0</v>
      </c>
      <c r="BE6" s="76">
        <v>0</v>
      </c>
      <c r="BF6" s="76">
        <v>0</v>
      </c>
      <c r="BG6" s="76">
        <v>0</v>
      </c>
      <c r="BH6" s="76">
        <v>0</v>
      </c>
      <c r="BI6" s="76">
        <v>0</v>
      </c>
      <c r="BJ6" s="76">
        <v>0</v>
      </c>
      <c r="BK6" s="76">
        <v>0</v>
      </c>
      <c r="BL6" s="76">
        <v>0</v>
      </c>
      <c r="BM6" s="76">
        <v>0</v>
      </c>
      <c r="BN6" s="76">
        <v>0</v>
      </c>
      <c r="BO6" s="76">
        <v>0</v>
      </c>
      <c r="BP6" s="76">
        <v>0</v>
      </c>
      <c r="BQ6" s="76">
        <v>0</v>
      </c>
      <c r="BR6" s="76">
        <v>0</v>
      </c>
      <c r="BS6" s="76">
        <v>0</v>
      </c>
      <c r="BT6" s="76">
        <v>0</v>
      </c>
      <c r="BU6" s="76">
        <v>0</v>
      </c>
      <c r="BV6" s="76">
        <v>0</v>
      </c>
      <c r="BW6" s="76">
        <v>0</v>
      </c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</row>
    <row r="7" spans="1:103" ht="15" customHeight="1" x14ac:dyDescent="0.25">
      <c r="A7" s="74" t="s">
        <v>159</v>
      </c>
      <c r="B7" s="75" t="s">
        <v>157</v>
      </c>
      <c r="C7" s="75" t="s">
        <v>157</v>
      </c>
      <c r="D7" s="75" t="s">
        <v>157</v>
      </c>
      <c r="E7" s="75" t="s">
        <v>157</v>
      </c>
      <c r="F7" s="76">
        <f t="shared" ref="F7:V7" si="3">F5-F6</f>
        <v>0</v>
      </c>
      <c r="G7" s="76">
        <f t="shared" si="3"/>
        <v>0</v>
      </c>
      <c r="H7" s="76">
        <f t="shared" si="3"/>
        <v>0</v>
      </c>
      <c r="I7" s="76">
        <f t="shared" si="3"/>
        <v>0</v>
      </c>
      <c r="J7" s="76">
        <f t="shared" si="3"/>
        <v>0</v>
      </c>
      <c r="K7" s="76">
        <f t="shared" si="3"/>
        <v>0</v>
      </c>
      <c r="L7" s="76">
        <f t="shared" si="3"/>
        <v>0</v>
      </c>
      <c r="M7" s="76">
        <f t="shared" si="3"/>
        <v>0</v>
      </c>
      <c r="N7" s="76">
        <f t="shared" si="3"/>
        <v>0</v>
      </c>
      <c r="O7" s="76">
        <f t="shared" si="3"/>
        <v>0</v>
      </c>
      <c r="P7" s="76">
        <f t="shared" si="3"/>
        <v>0</v>
      </c>
      <c r="Q7" s="76">
        <f t="shared" si="3"/>
        <v>0</v>
      </c>
      <c r="R7" s="76">
        <f t="shared" si="3"/>
        <v>0</v>
      </c>
      <c r="S7" s="76">
        <f t="shared" si="3"/>
        <v>0</v>
      </c>
      <c r="T7" s="76">
        <f t="shared" si="3"/>
        <v>0</v>
      </c>
      <c r="U7" s="76">
        <f t="shared" si="3"/>
        <v>0</v>
      </c>
      <c r="V7" s="76">
        <f t="shared" si="3"/>
        <v>0</v>
      </c>
      <c r="W7" s="75" t="s">
        <v>157</v>
      </c>
      <c r="X7" s="76">
        <f t="shared" ref="X7:BC7" si="4">X5-X6</f>
        <v>0</v>
      </c>
      <c r="Y7" s="76">
        <f t="shared" si="4"/>
        <v>0</v>
      </c>
      <c r="Z7" s="76">
        <f t="shared" si="4"/>
        <v>0</v>
      </c>
      <c r="AA7" s="76">
        <f t="shared" si="4"/>
        <v>0</v>
      </c>
      <c r="AB7" s="76">
        <f t="shared" si="4"/>
        <v>0</v>
      </c>
      <c r="AC7" s="76">
        <f t="shared" si="4"/>
        <v>0</v>
      </c>
      <c r="AD7" s="76">
        <f t="shared" si="4"/>
        <v>0</v>
      </c>
      <c r="AE7" s="76">
        <f t="shared" si="4"/>
        <v>0</v>
      </c>
      <c r="AF7" s="76">
        <f t="shared" si="4"/>
        <v>0</v>
      </c>
      <c r="AG7" s="76">
        <f t="shared" si="4"/>
        <v>0</v>
      </c>
      <c r="AH7" s="76">
        <f t="shared" si="4"/>
        <v>0</v>
      </c>
      <c r="AI7" s="76">
        <f t="shared" si="4"/>
        <v>0</v>
      </c>
      <c r="AJ7" s="76">
        <f t="shared" si="4"/>
        <v>0</v>
      </c>
      <c r="AK7" s="76">
        <f t="shared" si="4"/>
        <v>0</v>
      </c>
      <c r="AL7" s="76">
        <f t="shared" si="4"/>
        <v>0</v>
      </c>
      <c r="AM7" s="76">
        <f t="shared" si="4"/>
        <v>0</v>
      </c>
      <c r="AN7" s="76">
        <f t="shared" si="4"/>
        <v>0</v>
      </c>
      <c r="AO7" s="76">
        <f t="shared" si="4"/>
        <v>0</v>
      </c>
      <c r="AP7" s="76">
        <f t="shared" si="4"/>
        <v>0</v>
      </c>
      <c r="AQ7" s="76">
        <f t="shared" si="4"/>
        <v>0</v>
      </c>
      <c r="AR7" s="76">
        <f t="shared" si="4"/>
        <v>0</v>
      </c>
      <c r="AS7" s="76">
        <f t="shared" si="4"/>
        <v>0</v>
      </c>
      <c r="AT7" s="76">
        <f t="shared" si="4"/>
        <v>0</v>
      </c>
      <c r="AU7" s="76">
        <f t="shared" si="4"/>
        <v>0</v>
      </c>
      <c r="AV7" s="76">
        <f t="shared" si="4"/>
        <v>0</v>
      </c>
      <c r="AW7" s="76">
        <f t="shared" si="4"/>
        <v>0</v>
      </c>
      <c r="AX7" s="76">
        <f t="shared" si="4"/>
        <v>0</v>
      </c>
      <c r="AY7" s="76">
        <f t="shared" si="4"/>
        <v>0</v>
      </c>
      <c r="AZ7" s="76">
        <f t="shared" si="4"/>
        <v>0</v>
      </c>
      <c r="BA7" s="76">
        <f t="shared" si="4"/>
        <v>0</v>
      </c>
      <c r="BB7" s="76">
        <f t="shared" si="4"/>
        <v>0</v>
      </c>
      <c r="BC7" s="76">
        <f t="shared" si="4"/>
        <v>0</v>
      </c>
      <c r="BD7" s="76">
        <f t="shared" ref="BD7:BW7" si="5">BD5-BD6</f>
        <v>0</v>
      </c>
      <c r="BE7" s="76">
        <f t="shared" si="5"/>
        <v>0</v>
      </c>
      <c r="BF7" s="76">
        <f t="shared" si="5"/>
        <v>0</v>
      </c>
      <c r="BG7" s="76">
        <f t="shared" si="5"/>
        <v>0</v>
      </c>
      <c r="BH7" s="76">
        <f t="shared" si="5"/>
        <v>0</v>
      </c>
      <c r="BI7" s="76">
        <f t="shared" si="5"/>
        <v>0</v>
      </c>
      <c r="BJ7" s="76">
        <f t="shared" si="5"/>
        <v>0</v>
      </c>
      <c r="BK7" s="76">
        <f t="shared" si="5"/>
        <v>0</v>
      </c>
      <c r="BL7" s="76">
        <f t="shared" si="5"/>
        <v>0</v>
      </c>
      <c r="BM7" s="76">
        <f t="shared" si="5"/>
        <v>0</v>
      </c>
      <c r="BN7" s="76">
        <f t="shared" si="5"/>
        <v>0</v>
      </c>
      <c r="BO7" s="76">
        <f t="shared" si="5"/>
        <v>0</v>
      </c>
      <c r="BP7" s="76">
        <f t="shared" si="5"/>
        <v>0</v>
      </c>
      <c r="BQ7" s="76">
        <f t="shared" si="5"/>
        <v>0</v>
      </c>
      <c r="BR7" s="76">
        <f t="shared" si="5"/>
        <v>0</v>
      </c>
      <c r="BS7" s="76">
        <f t="shared" si="5"/>
        <v>0</v>
      </c>
      <c r="BT7" s="76">
        <f t="shared" si="5"/>
        <v>0</v>
      </c>
      <c r="BU7" s="76">
        <f t="shared" si="5"/>
        <v>0</v>
      </c>
      <c r="BV7" s="76">
        <f t="shared" si="5"/>
        <v>0</v>
      </c>
      <c r="BW7" s="76">
        <f t="shared" si="5"/>
        <v>0</v>
      </c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</row>
    <row r="8" spans="1:103" ht="34.5" customHeight="1" x14ac:dyDescent="0.25">
      <c r="A8" s="77" t="s">
        <v>2</v>
      </c>
      <c r="B8" s="77" t="s">
        <v>3</v>
      </c>
      <c r="C8" s="77" t="s">
        <v>4</v>
      </c>
      <c r="D8" s="77" t="s">
        <v>5</v>
      </c>
      <c r="E8" s="77" t="s">
        <v>13</v>
      </c>
      <c r="F8" s="78" t="s">
        <v>76</v>
      </c>
      <c r="G8" s="79" t="s">
        <v>77</v>
      </c>
      <c r="H8" s="79" t="s">
        <v>335</v>
      </c>
      <c r="I8" s="79" t="s">
        <v>336</v>
      </c>
      <c r="J8" s="79" t="s">
        <v>78</v>
      </c>
      <c r="K8" s="79" t="s">
        <v>79</v>
      </c>
      <c r="L8" s="79" t="s">
        <v>80</v>
      </c>
      <c r="M8" s="79" t="s">
        <v>81</v>
      </c>
      <c r="N8" s="79" t="s">
        <v>82</v>
      </c>
      <c r="O8" s="79" t="s">
        <v>337</v>
      </c>
      <c r="P8" s="79" t="s">
        <v>338</v>
      </c>
      <c r="Q8" s="79" t="s">
        <v>339</v>
      </c>
      <c r="R8" s="79" t="s">
        <v>70</v>
      </c>
      <c r="S8" s="79" t="s">
        <v>71</v>
      </c>
      <c r="T8" s="79" t="s">
        <v>340</v>
      </c>
      <c r="U8" s="79" t="s">
        <v>484</v>
      </c>
      <c r="V8" s="80" t="s">
        <v>341</v>
      </c>
      <c r="W8" s="79" t="s">
        <v>342</v>
      </c>
      <c r="X8" s="80" t="s">
        <v>343</v>
      </c>
      <c r="Y8" s="80" t="s">
        <v>344</v>
      </c>
      <c r="Z8" s="79" t="s">
        <v>83</v>
      </c>
      <c r="AA8" s="79" t="s">
        <v>84</v>
      </c>
      <c r="AB8" s="80" t="s">
        <v>345</v>
      </c>
      <c r="AC8" s="81" t="s">
        <v>346</v>
      </c>
      <c r="AD8" s="81" t="s">
        <v>483</v>
      </c>
      <c r="AE8" s="81" t="s">
        <v>485</v>
      </c>
      <c r="AF8" s="81" t="s">
        <v>347</v>
      </c>
      <c r="AG8" s="82" t="s">
        <v>348</v>
      </c>
      <c r="AH8" s="82" t="s">
        <v>349</v>
      </c>
      <c r="AI8" s="83" t="s">
        <v>350</v>
      </c>
      <c r="AJ8" s="83" t="s">
        <v>351</v>
      </c>
      <c r="AK8" s="83" t="s">
        <v>87</v>
      </c>
      <c r="AL8" s="83" t="s">
        <v>88</v>
      </c>
      <c r="AM8" s="83" t="s">
        <v>352</v>
      </c>
      <c r="AN8" s="83" t="s">
        <v>353</v>
      </c>
      <c r="AO8" s="83" t="s">
        <v>354</v>
      </c>
      <c r="AP8" s="83" t="s">
        <v>355</v>
      </c>
      <c r="AQ8" s="83" t="s">
        <v>356</v>
      </c>
      <c r="AR8" s="83" t="s">
        <v>357</v>
      </c>
      <c r="AS8" s="83" t="s">
        <v>358</v>
      </c>
      <c r="AT8" s="83" t="s">
        <v>89</v>
      </c>
      <c r="AU8" s="83" t="s">
        <v>90</v>
      </c>
      <c r="AV8" s="83" t="s">
        <v>359</v>
      </c>
      <c r="AW8" s="83" t="s">
        <v>360</v>
      </c>
      <c r="AX8" s="83" t="s">
        <v>361</v>
      </c>
      <c r="AY8" s="83" t="s">
        <v>362</v>
      </c>
      <c r="AZ8" s="83" t="s">
        <v>91</v>
      </c>
      <c r="BA8" s="83" t="s">
        <v>92</v>
      </c>
      <c r="BB8" s="83" t="s">
        <v>93</v>
      </c>
      <c r="BC8" s="84" t="s">
        <v>481</v>
      </c>
      <c r="BD8" s="85" t="s">
        <v>67</v>
      </c>
      <c r="BE8" s="85"/>
      <c r="BF8" s="85" t="s">
        <v>363</v>
      </c>
      <c r="BG8" s="85"/>
      <c r="BH8" s="85" t="s">
        <v>68</v>
      </c>
      <c r="BI8" s="85"/>
      <c r="BJ8" s="85" t="s">
        <v>364</v>
      </c>
      <c r="BK8" s="85"/>
      <c r="BL8" s="85" t="s">
        <v>365</v>
      </c>
      <c r="BM8" s="85"/>
      <c r="BN8" s="86" t="s">
        <v>366</v>
      </c>
      <c r="BO8" s="87"/>
      <c r="BP8" s="87" t="s">
        <v>69</v>
      </c>
      <c r="BQ8" s="88"/>
      <c r="BR8" s="88" t="s">
        <v>367</v>
      </c>
      <c r="BS8" s="88"/>
      <c r="BT8" s="88" t="s">
        <v>368</v>
      </c>
      <c r="BU8" s="88"/>
      <c r="BV8" s="88" t="s">
        <v>369</v>
      </c>
      <c r="BW8" s="88"/>
      <c r="BX8" s="78" t="s">
        <v>94</v>
      </c>
      <c r="BY8" s="89" t="s">
        <v>72</v>
      </c>
      <c r="BZ8" s="90"/>
      <c r="CA8" s="90"/>
      <c r="CB8" s="90"/>
      <c r="CC8" s="90"/>
      <c r="CD8" s="90"/>
      <c r="CE8" s="90"/>
      <c r="CF8" s="90"/>
      <c r="CG8" s="91"/>
      <c r="CH8" s="89" t="s">
        <v>73</v>
      </c>
      <c r="CI8" s="90"/>
      <c r="CJ8" s="90"/>
      <c r="CK8" s="90"/>
      <c r="CL8" s="91"/>
      <c r="CM8" s="89" t="s">
        <v>74</v>
      </c>
      <c r="CN8" s="90"/>
      <c r="CO8" s="90"/>
      <c r="CP8" s="90"/>
      <c r="CQ8" s="91"/>
      <c r="CR8" s="89" t="s">
        <v>75</v>
      </c>
      <c r="CS8" s="90"/>
      <c r="CT8" s="90"/>
      <c r="CU8" s="90"/>
      <c r="CV8" s="90"/>
      <c r="CW8" s="91"/>
      <c r="CX8" s="92" t="s">
        <v>477</v>
      </c>
      <c r="CY8" s="92" t="s">
        <v>486</v>
      </c>
    </row>
    <row r="9" spans="1:103" ht="110.25" x14ac:dyDescent="0.25">
      <c r="A9" s="77"/>
      <c r="B9" s="77"/>
      <c r="C9" s="77"/>
      <c r="D9" s="77"/>
      <c r="E9" s="77"/>
      <c r="F9" s="93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80"/>
      <c r="W9" s="79"/>
      <c r="X9" s="80"/>
      <c r="Y9" s="80"/>
      <c r="Z9" s="79"/>
      <c r="AA9" s="79"/>
      <c r="AB9" s="80"/>
      <c r="AC9" s="81"/>
      <c r="AD9" s="81"/>
      <c r="AE9" s="81"/>
      <c r="AF9" s="81"/>
      <c r="AG9" s="94"/>
      <c r="AH9" s="94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95"/>
      <c r="BD9" s="96" t="s">
        <v>370</v>
      </c>
      <c r="BE9" s="96" t="s">
        <v>371</v>
      </c>
      <c r="BF9" s="96" t="s">
        <v>370</v>
      </c>
      <c r="BG9" s="96" t="s">
        <v>371</v>
      </c>
      <c r="BH9" s="96" t="s">
        <v>370</v>
      </c>
      <c r="BI9" s="96" t="s">
        <v>371</v>
      </c>
      <c r="BJ9" s="96" t="s">
        <v>370</v>
      </c>
      <c r="BK9" s="96" t="s">
        <v>371</v>
      </c>
      <c r="BL9" s="96" t="s">
        <v>372</v>
      </c>
      <c r="BM9" s="96" t="s">
        <v>373</v>
      </c>
      <c r="BN9" s="96" t="s">
        <v>372</v>
      </c>
      <c r="BO9" s="96" t="s">
        <v>373</v>
      </c>
      <c r="BP9" s="96" t="s">
        <v>372</v>
      </c>
      <c r="BQ9" s="96" t="s">
        <v>373</v>
      </c>
      <c r="BR9" s="96" t="s">
        <v>372</v>
      </c>
      <c r="BS9" s="96" t="s">
        <v>373</v>
      </c>
      <c r="BT9" s="96" t="s">
        <v>370</v>
      </c>
      <c r="BU9" s="96" t="s">
        <v>371</v>
      </c>
      <c r="BV9" s="97" t="s">
        <v>166</v>
      </c>
      <c r="BW9" s="98" t="s">
        <v>168</v>
      </c>
      <c r="BX9" s="93"/>
      <c r="BY9" s="99" t="s">
        <v>85</v>
      </c>
      <c r="BZ9" s="99" t="s">
        <v>86</v>
      </c>
      <c r="CA9" s="99" t="s">
        <v>374</v>
      </c>
      <c r="CB9" s="99" t="s">
        <v>375</v>
      </c>
      <c r="CC9" s="99" t="s">
        <v>376</v>
      </c>
      <c r="CD9" s="100" t="s">
        <v>89</v>
      </c>
      <c r="CE9" s="100" t="s">
        <v>90</v>
      </c>
      <c r="CF9" s="100" t="s">
        <v>377</v>
      </c>
      <c r="CG9" s="100" t="s">
        <v>378</v>
      </c>
      <c r="CH9" s="99" t="s">
        <v>379</v>
      </c>
      <c r="CI9" s="99" t="s">
        <v>380</v>
      </c>
      <c r="CJ9" s="99" t="s">
        <v>381</v>
      </c>
      <c r="CK9" s="99" t="s">
        <v>382</v>
      </c>
      <c r="CL9" s="99" t="s">
        <v>383</v>
      </c>
      <c r="CM9" s="99" t="s">
        <v>384</v>
      </c>
      <c r="CN9" s="99" t="s">
        <v>385</v>
      </c>
      <c r="CO9" s="99" t="s">
        <v>386</v>
      </c>
      <c r="CP9" s="99" t="s">
        <v>387</v>
      </c>
      <c r="CQ9" s="99" t="s">
        <v>388</v>
      </c>
      <c r="CR9" s="99" t="s">
        <v>389</v>
      </c>
      <c r="CS9" s="99" t="s">
        <v>390</v>
      </c>
      <c r="CT9" s="99" t="s">
        <v>391</v>
      </c>
      <c r="CU9" s="99" t="s">
        <v>392</v>
      </c>
      <c r="CV9" s="99" t="s">
        <v>393</v>
      </c>
      <c r="CW9" s="99" t="s">
        <v>394</v>
      </c>
      <c r="CX9" s="95"/>
      <c r="CY9" s="95"/>
    </row>
    <row r="10" spans="1:103" ht="15" customHeight="1" x14ac:dyDescent="0.25">
      <c r="A10" s="101" t="s">
        <v>255</v>
      </c>
      <c r="B10" s="101" t="s">
        <v>256</v>
      </c>
      <c r="C10" s="101" t="s">
        <v>257</v>
      </c>
      <c r="D10" s="101" t="s">
        <v>258</v>
      </c>
      <c r="E10" s="101" t="s">
        <v>259</v>
      </c>
      <c r="F10" s="102" t="s">
        <v>260</v>
      </c>
      <c r="G10" s="102" t="s">
        <v>261</v>
      </c>
      <c r="H10" s="102" t="s">
        <v>262</v>
      </c>
      <c r="I10" s="102" t="s">
        <v>263</v>
      </c>
      <c r="J10" s="102" t="s">
        <v>264</v>
      </c>
      <c r="K10" s="102" t="s">
        <v>265</v>
      </c>
      <c r="L10" s="102" t="s">
        <v>266</v>
      </c>
      <c r="M10" s="102" t="s">
        <v>267</v>
      </c>
      <c r="N10" s="102" t="s">
        <v>268</v>
      </c>
      <c r="O10" s="102" t="s">
        <v>269</v>
      </c>
      <c r="P10" s="102" t="s">
        <v>270</v>
      </c>
      <c r="Q10" s="102" t="s">
        <v>271</v>
      </c>
      <c r="R10" s="102" t="s">
        <v>272</v>
      </c>
      <c r="S10" s="102" t="s">
        <v>273</v>
      </c>
      <c r="T10" s="102" t="s">
        <v>274</v>
      </c>
      <c r="U10" s="102" t="s">
        <v>275</v>
      </c>
      <c r="V10" s="102" t="s">
        <v>276</v>
      </c>
      <c r="W10" s="102" t="s">
        <v>277</v>
      </c>
      <c r="X10" s="102" t="s">
        <v>278</v>
      </c>
      <c r="Y10" s="102" t="s">
        <v>279</v>
      </c>
      <c r="Z10" s="102" t="s">
        <v>280</v>
      </c>
      <c r="AA10" s="102" t="s">
        <v>281</v>
      </c>
      <c r="AB10" s="102" t="s">
        <v>282</v>
      </c>
      <c r="AC10" s="103" t="s">
        <v>395</v>
      </c>
      <c r="AD10" s="103" t="s">
        <v>396</v>
      </c>
      <c r="AE10" s="103" t="s">
        <v>397</v>
      </c>
      <c r="AF10" s="103" t="s">
        <v>398</v>
      </c>
      <c r="AG10" s="103" t="s">
        <v>399</v>
      </c>
      <c r="AH10" s="103" t="s">
        <v>400</v>
      </c>
      <c r="AI10" s="104" t="s">
        <v>283</v>
      </c>
      <c r="AJ10" s="104" t="s">
        <v>284</v>
      </c>
      <c r="AK10" s="104" t="s">
        <v>285</v>
      </c>
      <c r="AL10" s="104" t="s">
        <v>286</v>
      </c>
      <c r="AM10" s="104" t="s">
        <v>287</v>
      </c>
      <c r="AN10" s="104" t="s">
        <v>288</v>
      </c>
      <c r="AO10" s="104" t="s">
        <v>289</v>
      </c>
      <c r="AP10" s="104" t="s">
        <v>290</v>
      </c>
      <c r="AQ10" s="104" t="s">
        <v>291</v>
      </c>
      <c r="AR10" s="104" t="s">
        <v>292</v>
      </c>
      <c r="AS10" s="104" t="s">
        <v>293</v>
      </c>
      <c r="AT10" s="104" t="s">
        <v>294</v>
      </c>
      <c r="AU10" s="104" t="s">
        <v>295</v>
      </c>
      <c r="AV10" s="104" t="s">
        <v>296</v>
      </c>
      <c r="AW10" s="104" t="s">
        <v>297</v>
      </c>
      <c r="AX10" s="104" t="s">
        <v>298</v>
      </c>
      <c r="AY10" s="104" t="s">
        <v>299</v>
      </c>
      <c r="AZ10" s="104" t="s">
        <v>301</v>
      </c>
      <c r="BA10" s="104" t="s">
        <v>303</v>
      </c>
      <c r="BB10" s="104" t="s">
        <v>305</v>
      </c>
      <c r="BC10" s="104" t="s">
        <v>479</v>
      </c>
      <c r="BD10" s="105" t="s">
        <v>401</v>
      </c>
      <c r="BE10" s="105" t="s">
        <v>402</v>
      </c>
      <c r="BF10" s="105" t="s">
        <v>403</v>
      </c>
      <c r="BG10" s="105" t="s">
        <v>404</v>
      </c>
      <c r="BH10" s="105" t="s">
        <v>405</v>
      </c>
      <c r="BI10" s="105" t="s">
        <v>406</v>
      </c>
      <c r="BJ10" s="105" t="s">
        <v>407</v>
      </c>
      <c r="BK10" s="105" t="s">
        <v>408</v>
      </c>
      <c r="BL10" s="105" t="s">
        <v>409</v>
      </c>
      <c r="BM10" s="105" t="s">
        <v>410</v>
      </c>
      <c r="BN10" s="105" t="s">
        <v>411</v>
      </c>
      <c r="BO10" s="105" t="s">
        <v>412</v>
      </c>
      <c r="BP10" s="105" t="s">
        <v>413</v>
      </c>
      <c r="BQ10" s="105" t="s">
        <v>414</v>
      </c>
      <c r="BR10" s="105" t="s">
        <v>415</v>
      </c>
      <c r="BS10" s="105" t="s">
        <v>416</v>
      </c>
      <c r="BT10" s="105" t="s">
        <v>417</v>
      </c>
      <c r="BU10" s="105" t="s">
        <v>418</v>
      </c>
      <c r="BV10" s="105" t="s">
        <v>419</v>
      </c>
      <c r="BW10" s="105" t="s">
        <v>420</v>
      </c>
      <c r="BX10" s="102" t="s">
        <v>309</v>
      </c>
      <c r="BY10" s="106" t="s">
        <v>421</v>
      </c>
      <c r="BZ10" s="106" t="s">
        <v>422</v>
      </c>
      <c r="CA10" s="106" t="s">
        <v>423</v>
      </c>
      <c r="CB10" s="106" t="s">
        <v>424</v>
      </c>
      <c r="CC10" s="106" t="s">
        <v>425</v>
      </c>
      <c r="CD10" s="106" t="s">
        <v>426</v>
      </c>
      <c r="CE10" s="106" t="s">
        <v>427</v>
      </c>
      <c r="CF10" s="106" t="s">
        <v>428</v>
      </c>
      <c r="CG10" s="106" t="s">
        <v>429</v>
      </c>
      <c r="CH10" s="106" t="s">
        <v>430</v>
      </c>
      <c r="CI10" s="106" t="s">
        <v>431</v>
      </c>
      <c r="CJ10" s="106" t="s">
        <v>432</v>
      </c>
      <c r="CK10" s="106" t="s">
        <v>433</v>
      </c>
      <c r="CL10" s="106" t="s">
        <v>434</v>
      </c>
      <c r="CM10" s="106" t="s">
        <v>435</v>
      </c>
      <c r="CN10" s="106" t="s">
        <v>436</v>
      </c>
      <c r="CO10" s="106" t="s">
        <v>437</v>
      </c>
      <c r="CP10" s="106" t="s">
        <v>438</v>
      </c>
      <c r="CQ10" s="106" t="s">
        <v>439</v>
      </c>
      <c r="CR10" s="106" t="s">
        <v>440</v>
      </c>
      <c r="CS10" s="106" t="s">
        <v>441</v>
      </c>
      <c r="CT10" s="106" t="s">
        <v>442</v>
      </c>
      <c r="CU10" s="106" t="s">
        <v>443</v>
      </c>
      <c r="CV10" s="106" t="s">
        <v>444</v>
      </c>
      <c r="CW10" s="106" t="s">
        <v>445</v>
      </c>
      <c r="CX10" s="101" t="s">
        <v>478</v>
      </c>
      <c r="CY10" s="101" t="s">
        <v>487</v>
      </c>
    </row>
    <row r="11" spans="1:103" ht="15" customHeight="1" x14ac:dyDescent="0.25">
      <c r="A11" s="107" t="s">
        <v>31</v>
      </c>
      <c r="B11" s="107" t="s">
        <v>32</v>
      </c>
      <c r="C11" s="107" t="s">
        <v>33</v>
      </c>
      <c r="D11" s="108" t="s">
        <v>476</v>
      </c>
      <c r="E11" s="109" t="s">
        <v>42</v>
      </c>
      <c r="F11" s="110" t="s">
        <v>95</v>
      </c>
      <c r="G11" s="110" t="s">
        <v>96</v>
      </c>
      <c r="H11" s="110" t="s">
        <v>97</v>
      </c>
      <c r="I11" s="111" t="s">
        <v>98</v>
      </c>
      <c r="J11" s="110" t="s">
        <v>99</v>
      </c>
      <c r="K11" s="110" t="s">
        <v>100</v>
      </c>
      <c r="L11" s="110" t="s">
        <v>446</v>
      </c>
      <c r="M11" s="110" t="s">
        <v>101</v>
      </c>
      <c r="N11" s="110" t="s">
        <v>102</v>
      </c>
      <c r="O11" s="112" t="s">
        <v>103</v>
      </c>
      <c r="P11" s="112" t="s">
        <v>104</v>
      </c>
      <c r="Q11" s="112" t="s">
        <v>105</v>
      </c>
      <c r="R11" s="113" t="s">
        <v>106</v>
      </c>
      <c r="S11" s="113" t="s">
        <v>107</v>
      </c>
      <c r="T11" s="112" t="s">
        <v>108</v>
      </c>
      <c r="U11" s="112" t="s">
        <v>109</v>
      </c>
      <c r="V11" s="112" t="s">
        <v>110</v>
      </c>
      <c r="W11" s="114" t="s">
        <v>111</v>
      </c>
      <c r="X11" s="112" t="s">
        <v>112</v>
      </c>
      <c r="Y11" s="112" t="s">
        <v>113</v>
      </c>
      <c r="Z11" s="113" t="s">
        <v>114</v>
      </c>
      <c r="AA11" s="113" t="s">
        <v>115</v>
      </c>
      <c r="AB11" s="112" t="s">
        <v>116</v>
      </c>
      <c r="AC11" s="112" t="s">
        <v>117</v>
      </c>
      <c r="AD11" s="112" t="s">
        <v>118</v>
      </c>
      <c r="AE11" s="112" t="s">
        <v>119</v>
      </c>
      <c r="AF11" s="112" t="s">
        <v>120</v>
      </c>
      <c r="AG11" s="112" t="s">
        <v>121</v>
      </c>
      <c r="AH11" s="112" t="s">
        <v>447</v>
      </c>
      <c r="AI11" s="113" t="s">
        <v>122</v>
      </c>
      <c r="AJ11" s="113" t="s">
        <v>123</v>
      </c>
      <c r="AK11" s="113" t="s">
        <v>124</v>
      </c>
      <c r="AL11" s="113" t="s">
        <v>125</v>
      </c>
      <c r="AM11" s="113" t="s">
        <v>315</v>
      </c>
      <c r="AN11" s="113" t="s">
        <v>126</v>
      </c>
      <c r="AO11" s="113" t="s">
        <v>127</v>
      </c>
      <c r="AP11" s="113" t="s">
        <v>128</v>
      </c>
      <c r="AQ11" s="113" t="s">
        <v>129</v>
      </c>
      <c r="AR11" s="113" t="s">
        <v>130</v>
      </c>
      <c r="AS11" s="113" t="s">
        <v>131</v>
      </c>
      <c r="AT11" s="113" t="s">
        <v>132</v>
      </c>
      <c r="AU11" s="115" t="s">
        <v>133</v>
      </c>
      <c r="AV11" s="113" t="s">
        <v>322</v>
      </c>
      <c r="AW11" s="113" t="s">
        <v>323</v>
      </c>
      <c r="AX11" s="113" t="s">
        <v>324</v>
      </c>
      <c r="AY11" s="113" t="s">
        <v>325</v>
      </c>
      <c r="AZ11" s="113" t="s">
        <v>134</v>
      </c>
      <c r="BA11" s="113" t="s">
        <v>135</v>
      </c>
      <c r="BB11" s="113" t="s">
        <v>136</v>
      </c>
      <c r="BC11" s="113" t="s">
        <v>480</v>
      </c>
      <c r="BD11" s="113" t="s">
        <v>448</v>
      </c>
      <c r="BE11" s="113" t="s">
        <v>449</v>
      </c>
      <c r="BF11" s="113" t="s">
        <v>450</v>
      </c>
      <c r="BG11" s="113" t="s">
        <v>451</v>
      </c>
      <c r="BH11" s="113" t="s">
        <v>452</v>
      </c>
      <c r="BI11" s="113" t="s">
        <v>453</v>
      </c>
      <c r="BJ11" s="113" t="s">
        <v>454</v>
      </c>
      <c r="BK11" s="113" t="s">
        <v>455</v>
      </c>
      <c r="BL11" s="113" t="s">
        <v>456</v>
      </c>
      <c r="BM11" s="113" t="s">
        <v>457</v>
      </c>
      <c r="BN11" s="113" t="s">
        <v>458</v>
      </c>
      <c r="BO11" s="113" t="s">
        <v>459</v>
      </c>
      <c r="BP11" s="113" t="s">
        <v>460</v>
      </c>
      <c r="BQ11" s="113" t="s">
        <v>461</v>
      </c>
      <c r="BR11" s="113" t="s">
        <v>462</v>
      </c>
      <c r="BS11" s="113" t="s">
        <v>463</v>
      </c>
      <c r="BT11" s="113" t="s">
        <v>464</v>
      </c>
      <c r="BU11" s="113" t="s">
        <v>465</v>
      </c>
      <c r="BV11" s="113" t="s">
        <v>137</v>
      </c>
      <c r="BW11" s="113" t="s">
        <v>138</v>
      </c>
      <c r="BX11" s="116" t="s">
        <v>139</v>
      </c>
      <c r="BY11" s="116" t="s">
        <v>140</v>
      </c>
      <c r="BZ11" s="116" t="s">
        <v>141</v>
      </c>
      <c r="CA11" s="116" t="s">
        <v>142</v>
      </c>
      <c r="CB11" s="116" t="s">
        <v>143</v>
      </c>
      <c r="CC11" s="116" t="s">
        <v>466</v>
      </c>
      <c r="CD11" s="116" t="s">
        <v>144</v>
      </c>
      <c r="CE11" s="116" t="s">
        <v>145</v>
      </c>
      <c r="CF11" s="116" t="s">
        <v>467</v>
      </c>
      <c r="CG11" s="116" t="s">
        <v>468</v>
      </c>
      <c r="CH11" s="116" t="s">
        <v>146</v>
      </c>
      <c r="CI11" s="116" t="s">
        <v>147</v>
      </c>
      <c r="CJ11" s="116" t="s">
        <v>148</v>
      </c>
      <c r="CK11" s="116" t="s">
        <v>469</v>
      </c>
      <c r="CL11" s="116" t="s">
        <v>149</v>
      </c>
      <c r="CM11" s="116" t="s">
        <v>150</v>
      </c>
      <c r="CN11" s="116" t="s">
        <v>151</v>
      </c>
      <c r="CO11" s="116" t="s">
        <v>152</v>
      </c>
      <c r="CP11" s="116" t="s">
        <v>470</v>
      </c>
      <c r="CQ11" s="116" t="s">
        <v>153</v>
      </c>
      <c r="CR11" s="116" t="s">
        <v>471</v>
      </c>
      <c r="CS11" s="116" t="s">
        <v>472</v>
      </c>
      <c r="CT11" s="116" t="s">
        <v>473</v>
      </c>
      <c r="CU11" s="116" t="s">
        <v>474</v>
      </c>
      <c r="CV11" s="116" t="s">
        <v>154</v>
      </c>
      <c r="CW11" s="116" t="s">
        <v>155</v>
      </c>
      <c r="CX11" s="117" t="s">
        <v>34</v>
      </c>
      <c r="CY11" s="118" t="s">
        <v>488</v>
      </c>
    </row>
    <row r="12" spans="1:103" ht="15" customHeight="1" x14ac:dyDescent="0.25"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</row>
    <row r="13" spans="1:103" ht="15" customHeight="1" x14ac:dyDescent="0.25"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</row>
    <row r="14" spans="1:103" ht="15" customHeight="1" x14ac:dyDescent="0.25">
      <c r="A14" s="63" t="s">
        <v>24</v>
      </c>
      <c r="D14" s="63" t="s">
        <v>25</v>
      </c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</row>
    <row r="15" spans="1:103" ht="15" customHeight="1" x14ac:dyDescent="0.25">
      <c r="C15" s="63" t="s">
        <v>26</v>
      </c>
      <c r="D15" s="63" t="s">
        <v>27</v>
      </c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</row>
    <row r="16" spans="1:103" ht="15" customHeight="1" x14ac:dyDescent="0.25"/>
    <row r="17" spans="1:4" ht="15" customHeight="1" x14ac:dyDescent="0.25">
      <c r="A17" s="63" t="s">
        <v>28</v>
      </c>
      <c r="D17" s="63" t="s">
        <v>29</v>
      </c>
    </row>
    <row r="18" spans="1:4" x14ac:dyDescent="0.25">
      <c r="C18" s="63" t="s">
        <v>26</v>
      </c>
      <c r="D18" s="63" t="s">
        <v>27</v>
      </c>
    </row>
  </sheetData>
  <mergeCells count="73">
    <mergeCell ref="O8:O9"/>
    <mergeCell ref="P8:P9"/>
    <mergeCell ref="Q8:Q9"/>
    <mergeCell ref="J8:J9"/>
    <mergeCell ref="K8:K9"/>
    <mergeCell ref="L8:L9"/>
    <mergeCell ref="M8:M9"/>
    <mergeCell ref="N8:N9"/>
    <mergeCell ref="E8:E9"/>
    <mergeCell ref="F8:F9"/>
    <mergeCell ref="G8:G9"/>
    <mergeCell ref="H8:H9"/>
    <mergeCell ref="I8:I9"/>
    <mergeCell ref="C3:D3"/>
    <mergeCell ref="A8:A9"/>
    <mergeCell ref="B8:B9"/>
    <mergeCell ref="C8:C9"/>
    <mergeCell ref="D8:D9"/>
    <mergeCell ref="AC8:AC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O8:AO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BA8:BA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X8:BX9"/>
    <mergeCell ref="BB8:BB9"/>
    <mergeCell ref="BD8:BE8"/>
    <mergeCell ref="BF8:BG8"/>
    <mergeCell ref="BH8:BI8"/>
    <mergeCell ref="BJ8:BK8"/>
    <mergeCell ref="BL8:BM8"/>
    <mergeCell ref="BC8:BC9"/>
    <mergeCell ref="BN8:BO8"/>
    <mergeCell ref="BP8:BQ8"/>
    <mergeCell ref="BR8:BS8"/>
    <mergeCell ref="BT8:BU8"/>
    <mergeCell ref="BV8:BW8"/>
    <mergeCell ref="CY8:CY9"/>
    <mergeCell ref="CX8:CX9"/>
    <mergeCell ref="BY8:CG8"/>
    <mergeCell ref="CH8:CL8"/>
    <mergeCell ref="CM8:CQ8"/>
    <mergeCell ref="CR8:CW8"/>
  </mergeCells>
  <conditionalFormatting sqref="AN11:AO11 A11 F11:AH11">
    <cfRule type="expression" dxfId="7" priority="2" stopIfTrue="1">
      <formula>#REF!=0</formula>
    </cfRule>
  </conditionalFormatting>
  <pageMargins left="0.7" right="0.7" top="0.75" bottom="0.75" header="0.3" footer="0.3"/>
  <pageSetup paperSize="9"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6"/>
  <sheetViews>
    <sheetView showGridLines="0" zoomScale="85" zoomScaleNormal="85" workbookViewId="0">
      <pane ySplit="6" topLeftCell="A7" activePane="bottomLeft" state="frozen"/>
      <selection pane="bottomLeft" activeCell="E20" sqref="E20"/>
    </sheetView>
  </sheetViews>
  <sheetFormatPr defaultRowHeight="15" x14ac:dyDescent="0.25"/>
  <cols>
    <col min="1" max="1" width="7.28515625" style="35" customWidth="1"/>
    <col min="2" max="2" width="60.7109375" style="35" customWidth="1"/>
    <col min="3" max="3" width="25.7109375" style="35" customWidth="1"/>
    <col min="4" max="8" width="15.7109375" style="35" customWidth="1"/>
    <col min="9" max="16384" width="9.140625" style="35"/>
  </cols>
  <sheetData>
    <row r="1" spans="1:8" ht="15.75" x14ac:dyDescent="0.25">
      <c r="A1" s="34" t="s">
        <v>160</v>
      </c>
    </row>
    <row r="2" spans="1:8" ht="15.75" customHeight="1" x14ac:dyDescent="0.25">
      <c r="F2" s="36" t="s">
        <v>1</v>
      </c>
      <c r="G2" s="52" t="s">
        <v>161</v>
      </c>
      <c r="H2" s="53"/>
    </row>
    <row r="3" spans="1:8" ht="12.75" customHeight="1" x14ac:dyDescent="0.25">
      <c r="H3" s="37"/>
    </row>
    <row r="4" spans="1:8" ht="18.75" x14ac:dyDescent="0.25">
      <c r="A4" s="54" t="s">
        <v>475</v>
      </c>
      <c r="B4" s="54"/>
      <c r="C4" s="54"/>
      <c r="D4" s="54"/>
      <c r="E4" s="54"/>
      <c r="F4" s="54"/>
      <c r="G4" s="54"/>
      <c r="H4" s="54"/>
    </row>
    <row r="5" spans="1:8" ht="12.75" customHeight="1" x14ac:dyDescent="0.25">
      <c r="H5" s="38" t="s">
        <v>334</v>
      </c>
    </row>
    <row r="6" spans="1:8" ht="24" x14ac:dyDescent="0.25">
      <c r="A6" s="5" t="s">
        <v>162</v>
      </c>
      <c r="B6" s="5" t="s">
        <v>163</v>
      </c>
      <c r="C6" s="5" t="s">
        <v>164</v>
      </c>
      <c r="D6" s="5" t="s">
        <v>165</v>
      </c>
      <c r="E6" s="5" t="s">
        <v>166</v>
      </c>
      <c r="F6" s="5" t="s">
        <v>167</v>
      </c>
      <c r="G6" s="5" t="s">
        <v>168</v>
      </c>
      <c r="H6" s="5" t="s">
        <v>169</v>
      </c>
    </row>
    <row r="7" spans="1:8" x14ac:dyDescent="0.25">
      <c r="A7" s="6">
        <v>1</v>
      </c>
      <c r="B7" s="6">
        <v>2</v>
      </c>
      <c r="C7" s="6">
        <v>3</v>
      </c>
      <c r="D7" s="6">
        <v>4</v>
      </c>
      <c r="E7" s="6">
        <v>5</v>
      </c>
      <c r="F7" s="6">
        <v>6</v>
      </c>
      <c r="G7" s="6">
        <v>7</v>
      </c>
      <c r="H7" s="6">
        <v>8</v>
      </c>
    </row>
    <row r="8" spans="1:8" ht="15.75" x14ac:dyDescent="0.25">
      <c r="A8" s="39"/>
      <c r="B8" s="13" t="s">
        <v>170</v>
      </c>
      <c r="C8" s="40"/>
      <c r="D8" s="40"/>
      <c r="E8" s="40"/>
      <c r="F8" s="40"/>
      <c r="G8" s="40"/>
      <c r="H8" s="40"/>
    </row>
    <row r="9" spans="1:8" ht="15.75" x14ac:dyDescent="0.25">
      <c r="A9" s="39"/>
      <c r="B9" s="13" t="s">
        <v>171</v>
      </c>
      <c r="C9" s="41"/>
      <c r="D9" s="40"/>
      <c r="E9" s="40"/>
      <c r="F9" s="40"/>
      <c r="G9" s="40"/>
      <c r="H9" s="40"/>
    </row>
    <row r="10" spans="1:8" x14ac:dyDescent="0.25">
      <c r="A10" s="7" t="s">
        <v>172</v>
      </c>
      <c r="B10" s="42" t="s">
        <v>173</v>
      </c>
      <c r="C10" s="8">
        <v>0</v>
      </c>
      <c r="D10" s="9"/>
      <c r="E10" s="9"/>
      <c r="F10" s="9"/>
      <c r="G10" s="9"/>
      <c r="H10" s="9"/>
    </row>
    <row r="11" spans="1:8" ht="30" x14ac:dyDescent="0.25">
      <c r="A11" s="7" t="s">
        <v>174</v>
      </c>
      <c r="B11" s="43" t="s">
        <v>175</v>
      </c>
      <c r="C11" s="10">
        <f t="shared" ref="C11:C20" si="0">D11-E11+F11+G11-H11</f>
        <v>0</v>
      </c>
      <c r="D11" s="9"/>
      <c r="E11" s="9"/>
      <c r="F11" s="9"/>
      <c r="G11" s="9"/>
      <c r="H11" s="9"/>
    </row>
    <row r="12" spans="1:8" ht="30" x14ac:dyDescent="0.25">
      <c r="A12" s="7" t="s">
        <v>176</v>
      </c>
      <c r="B12" s="43" t="s">
        <v>177</v>
      </c>
      <c r="C12" s="10">
        <f t="shared" si="0"/>
        <v>0</v>
      </c>
      <c r="D12" s="9"/>
      <c r="E12" s="9"/>
      <c r="F12" s="9"/>
      <c r="G12" s="9"/>
      <c r="H12" s="9"/>
    </row>
    <row r="13" spans="1:8" ht="30" x14ac:dyDescent="0.25">
      <c r="A13" s="7" t="s">
        <v>178</v>
      </c>
      <c r="B13" s="43" t="s">
        <v>179</v>
      </c>
      <c r="C13" s="10">
        <f t="shared" si="0"/>
        <v>0</v>
      </c>
      <c r="D13" s="9"/>
      <c r="E13" s="9"/>
      <c r="F13" s="9"/>
      <c r="G13" s="9"/>
      <c r="H13" s="9"/>
    </row>
    <row r="14" spans="1:8" ht="30" x14ac:dyDescent="0.25">
      <c r="A14" s="7" t="s">
        <v>180</v>
      </c>
      <c r="B14" s="43" t="s">
        <v>181</v>
      </c>
      <c r="C14" s="10">
        <f t="shared" si="0"/>
        <v>0</v>
      </c>
      <c r="D14" s="9"/>
      <c r="E14" s="9"/>
      <c r="F14" s="9"/>
      <c r="G14" s="9"/>
      <c r="H14" s="9"/>
    </row>
    <row r="15" spans="1:8" x14ac:dyDescent="0.25">
      <c r="A15" s="7" t="s">
        <v>182</v>
      </c>
      <c r="B15" s="43" t="s">
        <v>183</v>
      </c>
      <c r="C15" s="10">
        <f t="shared" si="0"/>
        <v>0</v>
      </c>
      <c r="D15" s="9"/>
      <c r="E15" s="9"/>
      <c r="F15" s="9"/>
      <c r="G15" s="9"/>
      <c r="H15" s="9"/>
    </row>
    <row r="16" spans="1:8" ht="45" x14ac:dyDescent="0.25">
      <c r="A16" s="7" t="s">
        <v>184</v>
      </c>
      <c r="B16" s="43" t="s">
        <v>185</v>
      </c>
      <c r="C16" s="10">
        <f t="shared" si="0"/>
        <v>0</v>
      </c>
      <c r="D16" s="9"/>
      <c r="E16" s="9"/>
      <c r="F16" s="9"/>
      <c r="G16" s="9"/>
      <c r="H16" s="9"/>
    </row>
    <row r="17" spans="1:8" ht="30" x14ac:dyDescent="0.25">
      <c r="A17" s="7" t="s">
        <v>186</v>
      </c>
      <c r="B17" s="43" t="s">
        <v>187</v>
      </c>
      <c r="C17" s="10">
        <f t="shared" si="0"/>
        <v>0</v>
      </c>
      <c r="D17" s="9"/>
      <c r="E17" s="9"/>
      <c r="F17" s="9"/>
      <c r="G17" s="9"/>
      <c r="H17" s="9"/>
    </row>
    <row r="18" spans="1:8" ht="30" x14ac:dyDescent="0.25">
      <c r="A18" s="7" t="s">
        <v>188</v>
      </c>
      <c r="B18" s="43" t="s">
        <v>189</v>
      </c>
      <c r="C18" s="10">
        <f t="shared" si="0"/>
        <v>0</v>
      </c>
      <c r="D18" s="9"/>
      <c r="E18" s="9"/>
      <c r="F18" s="9"/>
      <c r="G18" s="9"/>
      <c r="H18" s="9"/>
    </row>
    <row r="19" spans="1:8" x14ac:dyDescent="0.25">
      <c r="A19" s="7" t="s">
        <v>190</v>
      </c>
      <c r="B19" s="43" t="s">
        <v>191</v>
      </c>
      <c r="C19" s="10">
        <f t="shared" si="0"/>
        <v>0</v>
      </c>
      <c r="D19" s="9"/>
      <c r="E19" s="9"/>
      <c r="F19" s="9"/>
      <c r="G19" s="9"/>
      <c r="H19" s="9"/>
    </row>
    <row r="20" spans="1:8" ht="60" x14ac:dyDescent="0.25">
      <c r="A20" s="7" t="s">
        <v>192</v>
      </c>
      <c r="B20" s="43" t="s">
        <v>193</v>
      </c>
      <c r="C20" s="10">
        <f t="shared" si="0"/>
        <v>0</v>
      </c>
      <c r="D20" s="9"/>
      <c r="E20" s="9"/>
      <c r="F20" s="9"/>
      <c r="G20" s="9"/>
      <c r="H20" s="9"/>
    </row>
    <row r="21" spans="1:8" x14ac:dyDescent="0.25">
      <c r="A21" s="39"/>
      <c r="B21" s="44"/>
      <c r="C21" s="11"/>
      <c r="D21" s="11"/>
      <c r="E21" s="12"/>
      <c r="F21" s="11"/>
      <c r="G21" s="12"/>
      <c r="H21" s="11"/>
    </row>
    <row r="22" spans="1:8" ht="15.75" x14ac:dyDescent="0.25">
      <c r="A22" s="39"/>
      <c r="B22" s="13" t="s">
        <v>194</v>
      </c>
      <c r="C22" s="11"/>
      <c r="D22" s="11"/>
      <c r="E22" s="12"/>
      <c r="F22" s="11"/>
      <c r="G22" s="12"/>
      <c r="H22" s="11"/>
    </row>
    <row r="23" spans="1:8" x14ac:dyDescent="0.25">
      <c r="A23" s="7" t="s">
        <v>195</v>
      </c>
      <c r="B23" s="42" t="s">
        <v>196</v>
      </c>
      <c r="C23" s="14">
        <f>C24-C25</f>
        <v>0</v>
      </c>
      <c r="D23" s="9"/>
      <c r="E23" s="9"/>
      <c r="F23" s="9"/>
      <c r="G23" s="9"/>
      <c r="H23" s="9"/>
    </row>
    <row r="24" spans="1:8" x14ac:dyDescent="0.25">
      <c r="A24" s="7" t="s">
        <v>197</v>
      </c>
      <c r="B24" s="15" t="s">
        <v>198</v>
      </c>
      <c r="C24" s="16">
        <v>0</v>
      </c>
      <c r="D24" s="9"/>
      <c r="E24" s="9"/>
      <c r="F24" s="9"/>
      <c r="G24" s="9"/>
      <c r="H24" s="9"/>
    </row>
    <row r="25" spans="1:8" x14ac:dyDescent="0.25">
      <c r="A25" s="7" t="s">
        <v>199</v>
      </c>
      <c r="B25" s="15" t="s">
        <v>200</v>
      </c>
      <c r="C25" s="16">
        <v>0</v>
      </c>
      <c r="D25" s="9"/>
      <c r="E25" s="9"/>
      <c r="F25" s="9"/>
      <c r="G25" s="9"/>
      <c r="H25" s="9"/>
    </row>
    <row r="26" spans="1:8" x14ac:dyDescent="0.25">
      <c r="A26" s="7" t="s">
        <v>201</v>
      </c>
      <c r="B26" s="43" t="s">
        <v>202</v>
      </c>
      <c r="C26" s="10">
        <f>D26-E26+F26+G26-H26</f>
        <v>0</v>
      </c>
      <c r="D26" s="9"/>
      <c r="E26" s="9"/>
      <c r="F26" s="9"/>
      <c r="G26" s="9"/>
      <c r="H26" s="9"/>
    </row>
    <row r="27" spans="1:8" x14ac:dyDescent="0.25">
      <c r="A27" s="39"/>
      <c r="B27" s="45"/>
      <c r="C27" s="17"/>
      <c r="D27" s="17"/>
      <c r="E27" s="17"/>
      <c r="F27" s="17"/>
      <c r="G27" s="17"/>
      <c r="H27" s="17"/>
    </row>
    <row r="28" spans="1:8" ht="15.75" x14ac:dyDescent="0.25">
      <c r="A28" s="39"/>
      <c r="B28" s="13" t="s">
        <v>203</v>
      </c>
      <c r="C28" s="17"/>
      <c r="D28" s="17"/>
      <c r="E28" s="17"/>
      <c r="F28" s="17"/>
      <c r="G28" s="17"/>
      <c r="H28" s="17"/>
    </row>
    <row r="29" spans="1:8" x14ac:dyDescent="0.25">
      <c r="A29" s="7" t="s">
        <v>204</v>
      </c>
      <c r="B29" s="42" t="s">
        <v>205</v>
      </c>
      <c r="C29" s="18">
        <v>0</v>
      </c>
      <c r="D29" s="9"/>
      <c r="E29" s="9"/>
      <c r="F29" s="9"/>
      <c r="G29" s="9"/>
      <c r="H29" s="9"/>
    </row>
    <row r="30" spans="1:8" x14ac:dyDescent="0.25">
      <c r="A30" s="7" t="s">
        <v>206</v>
      </c>
      <c r="B30" s="43" t="s">
        <v>207</v>
      </c>
      <c r="C30" s="10">
        <f>D30-E30+F30+G30-H30</f>
        <v>0</v>
      </c>
      <c r="D30" s="9"/>
      <c r="E30" s="9"/>
      <c r="F30" s="9"/>
      <c r="G30" s="9"/>
      <c r="H30" s="9"/>
    </row>
    <row r="31" spans="1:8" x14ac:dyDescent="0.25">
      <c r="A31" s="39"/>
      <c r="B31" s="45"/>
      <c r="C31" s="17"/>
      <c r="D31" s="17"/>
      <c r="E31" s="17"/>
      <c r="F31" s="17"/>
      <c r="G31" s="17"/>
      <c r="H31" s="17"/>
    </row>
    <row r="32" spans="1:8" ht="15.75" x14ac:dyDescent="0.25">
      <c r="A32" s="39"/>
      <c r="B32" s="13" t="s">
        <v>208</v>
      </c>
      <c r="C32" s="17"/>
      <c r="D32" s="17"/>
      <c r="E32" s="17"/>
      <c r="F32" s="17"/>
      <c r="G32" s="17"/>
      <c r="H32" s="17"/>
    </row>
    <row r="33" spans="1:8" x14ac:dyDescent="0.25">
      <c r="A33" s="7" t="s">
        <v>209</v>
      </c>
      <c r="B33" s="42" t="s">
        <v>210</v>
      </c>
      <c r="C33" s="10">
        <f>D33-E33+F33+G33-H33</f>
        <v>0</v>
      </c>
      <c r="D33" s="9"/>
      <c r="E33" s="9"/>
      <c r="F33" s="9"/>
      <c r="G33" s="9"/>
      <c r="H33" s="9"/>
    </row>
    <row r="34" spans="1:8" x14ac:dyDescent="0.25">
      <c r="A34" s="7" t="s">
        <v>211</v>
      </c>
      <c r="B34" s="43" t="s">
        <v>212</v>
      </c>
      <c r="C34" s="10">
        <f>D34-E34+F34+G34-H34</f>
        <v>0</v>
      </c>
      <c r="D34" s="9"/>
      <c r="E34" s="9"/>
      <c r="F34" s="9"/>
      <c r="G34" s="9"/>
      <c r="H34" s="9"/>
    </row>
    <row r="35" spans="1:8" x14ac:dyDescent="0.25">
      <c r="A35" s="39"/>
      <c r="B35" s="44"/>
      <c r="C35" s="46"/>
      <c r="D35" s="46"/>
      <c r="E35" s="46"/>
      <c r="F35" s="46"/>
      <c r="G35" s="46"/>
      <c r="H35" s="46"/>
    </row>
    <row r="36" spans="1:8" x14ac:dyDescent="0.25">
      <c r="A36" s="19" t="s">
        <v>213</v>
      </c>
      <c r="B36" s="20" t="s">
        <v>214</v>
      </c>
      <c r="C36" s="21">
        <f>SUM(C10:C34)-C24-C25</f>
        <v>0</v>
      </c>
      <c r="D36" s="22"/>
      <c r="E36" s="23"/>
      <c r="F36" s="23"/>
      <c r="G36" s="23"/>
      <c r="H36" s="23"/>
    </row>
    <row r="37" spans="1:8" x14ac:dyDescent="0.25">
      <c r="A37" s="39"/>
      <c r="B37" s="44"/>
      <c r="C37" s="46"/>
      <c r="D37" s="46"/>
      <c r="E37" s="24"/>
      <c r="F37" s="24"/>
      <c r="G37" s="24"/>
      <c r="H37" s="24"/>
    </row>
    <row r="38" spans="1:8" ht="15.75" x14ac:dyDescent="0.25">
      <c r="A38" s="39"/>
      <c r="B38" s="13" t="s">
        <v>215</v>
      </c>
      <c r="C38" s="46"/>
      <c r="D38" s="46"/>
      <c r="E38" s="46"/>
      <c r="F38" s="46"/>
      <c r="G38" s="46"/>
      <c r="H38" s="46"/>
    </row>
    <row r="39" spans="1:8" ht="15.75" x14ac:dyDescent="0.25">
      <c r="A39" s="39"/>
      <c r="B39" s="13" t="s">
        <v>216</v>
      </c>
      <c r="C39" s="46"/>
      <c r="D39" s="46"/>
      <c r="E39" s="46"/>
      <c r="F39" s="46"/>
      <c r="G39" s="46"/>
      <c r="H39" s="46"/>
    </row>
    <row r="40" spans="1:8" x14ac:dyDescent="0.25">
      <c r="A40" s="7" t="s">
        <v>217</v>
      </c>
      <c r="B40" s="42" t="s">
        <v>218</v>
      </c>
      <c r="C40" s="8">
        <v>0</v>
      </c>
      <c r="D40" s="9"/>
      <c r="E40" s="9"/>
      <c r="F40" s="9"/>
      <c r="G40" s="9"/>
      <c r="H40" s="9"/>
    </row>
    <row r="41" spans="1:8" ht="30" x14ac:dyDescent="0.25">
      <c r="A41" s="7" t="s">
        <v>219</v>
      </c>
      <c r="B41" s="43" t="s">
        <v>220</v>
      </c>
      <c r="C41" s="10">
        <f t="shared" ref="C41:C52" si="1">D41-E41+F41+G41-H41</f>
        <v>0</v>
      </c>
      <c r="D41" s="9"/>
      <c r="E41" s="9"/>
      <c r="F41" s="9"/>
      <c r="G41" s="9"/>
      <c r="H41" s="9"/>
    </row>
    <row r="42" spans="1:8" ht="30" x14ac:dyDescent="0.25">
      <c r="A42" s="7" t="s">
        <v>221</v>
      </c>
      <c r="B42" s="43" t="s">
        <v>222</v>
      </c>
      <c r="C42" s="10">
        <f t="shared" si="1"/>
        <v>0</v>
      </c>
      <c r="D42" s="9"/>
      <c r="E42" s="9"/>
      <c r="F42" s="9"/>
      <c r="G42" s="9"/>
      <c r="H42" s="9"/>
    </row>
    <row r="43" spans="1:8" ht="30" x14ac:dyDescent="0.25">
      <c r="A43" s="7" t="s">
        <v>223</v>
      </c>
      <c r="B43" s="43" t="s">
        <v>224</v>
      </c>
      <c r="C43" s="10">
        <f t="shared" si="1"/>
        <v>0</v>
      </c>
      <c r="D43" s="9"/>
      <c r="E43" s="9"/>
      <c r="F43" s="9"/>
      <c r="G43" s="9"/>
      <c r="H43" s="9"/>
    </row>
    <row r="44" spans="1:8" ht="30" x14ac:dyDescent="0.25">
      <c r="A44" s="7" t="s">
        <v>225</v>
      </c>
      <c r="B44" s="43" t="s">
        <v>226</v>
      </c>
      <c r="C44" s="10">
        <f t="shared" si="1"/>
        <v>0</v>
      </c>
      <c r="D44" s="9"/>
      <c r="E44" s="9"/>
      <c r="F44" s="9"/>
      <c r="G44" s="9"/>
      <c r="H44" s="9"/>
    </row>
    <row r="45" spans="1:8" ht="30" x14ac:dyDescent="0.25">
      <c r="A45" s="7" t="s">
        <v>227</v>
      </c>
      <c r="B45" s="43" t="s">
        <v>228</v>
      </c>
      <c r="C45" s="10">
        <f t="shared" si="1"/>
        <v>0</v>
      </c>
      <c r="D45" s="9"/>
      <c r="E45" s="9"/>
      <c r="F45" s="9"/>
      <c r="G45" s="9"/>
      <c r="H45" s="9"/>
    </row>
    <row r="46" spans="1:8" x14ac:dyDescent="0.25">
      <c r="A46" s="7" t="s">
        <v>229</v>
      </c>
      <c r="B46" s="43" t="s">
        <v>230</v>
      </c>
      <c r="C46" s="10">
        <f t="shared" si="1"/>
        <v>0</v>
      </c>
      <c r="D46" s="9"/>
      <c r="E46" s="9"/>
      <c r="F46" s="9"/>
      <c r="G46" s="9"/>
      <c r="H46" s="9"/>
    </row>
    <row r="47" spans="1:8" ht="30" x14ac:dyDescent="0.25">
      <c r="A47" s="7" t="s">
        <v>231</v>
      </c>
      <c r="B47" s="43" t="s">
        <v>232</v>
      </c>
      <c r="C47" s="10">
        <f t="shared" si="1"/>
        <v>0</v>
      </c>
      <c r="D47" s="9"/>
      <c r="E47" s="9"/>
      <c r="F47" s="9"/>
      <c r="G47" s="9"/>
      <c r="H47" s="9"/>
    </row>
    <row r="48" spans="1:8" ht="30" x14ac:dyDescent="0.25">
      <c r="A48" s="7" t="s">
        <v>233</v>
      </c>
      <c r="B48" s="43" t="s">
        <v>234</v>
      </c>
      <c r="C48" s="10">
        <f t="shared" si="1"/>
        <v>0</v>
      </c>
      <c r="D48" s="9"/>
      <c r="E48" s="9"/>
      <c r="F48" s="9"/>
      <c r="G48" s="9"/>
      <c r="H48" s="9"/>
    </row>
    <row r="49" spans="1:8" ht="30" x14ac:dyDescent="0.25">
      <c r="A49" s="7" t="s">
        <v>235</v>
      </c>
      <c r="B49" s="43" t="s">
        <v>236</v>
      </c>
      <c r="C49" s="10">
        <f t="shared" si="1"/>
        <v>0</v>
      </c>
      <c r="D49" s="9"/>
      <c r="E49" s="9"/>
      <c r="F49" s="9"/>
      <c r="G49" s="9"/>
      <c r="H49" s="9"/>
    </row>
    <row r="50" spans="1:8" x14ac:dyDescent="0.25">
      <c r="A50" s="7" t="s">
        <v>237</v>
      </c>
      <c r="B50" s="43" t="s">
        <v>238</v>
      </c>
      <c r="C50" s="10">
        <f t="shared" si="1"/>
        <v>0</v>
      </c>
      <c r="D50" s="9"/>
      <c r="E50" s="9"/>
      <c r="F50" s="9"/>
      <c r="G50" s="9"/>
      <c r="H50" s="9"/>
    </row>
    <row r="51" spans="1:8" ht="45" x14ac:dyDescent="0.25">
      <c r="A51" s="7" t="s">
        <v>239</v>
      </c>
      <c r="B51" s="43" t="s">
        <v>240</v>
      </c>
      <c r="C51" s="10">
        <f t="shared" si="1"/>
        <v>0</v>
      </c>
      <c r="D51" s="9"/>
      <c r="E51" s="9"/>
      <c r="F51" s="9"/>
      <c r="G51" s="9"/>
      <c r="H51" s="9"/>
    </row>
    <row r="52" spans="1:8" ht="75" x14ac:dyDescent="0.25">
      <c r="A52" s="7" t="s">
        <v>241</v>
      </c>
      <c r="B52" s="43" t="s">
        <v>242</v>
      </c>
      <c r="C52" s="10">
        <f t="shared" si="1"/>
        <v>0</v>
      </c>
      <c r="D52" s="9"/>
      <c r="E52" s="9"/>
      <c r="F52" s="9"/>
      <c r="G52" s="9"/>
      <c r="H52" s="9"/>
    </row>
    <row r="53" spans="1:8" x14ac:dyDescent="0.25">
      <c r="A53" s="39"/>
      <c r="B53" s="44"/>
      <c r="C53" s="46"/>
      <c r="D53" s="46"/>
      <c r="E53" s="46"/>
      <c r="F53" s="46"/>
      <c r="G53" s="46"/>
      <c r="H53" s="46"/>
    </row>
    <row r="54" spans="1:8" x14ac:dyDescent="0.25">
      <c r="A54" s="19" t="s">
        <v>243</v>
      </c>
      <c r="B54" s="20" t="s">
        <v>244</v>
      </c>
      <c r="C54" s="21">
        <f>SUM(C40:C52)</f>
        <v>0</v>
      </c>
      <c r="D54" s="25"/>
      <c r="E54" s="26">
        <f>SUM(E40:E52)</f>
        <v>0</v>
      </c>
      <c r="F54" s="26">
        <f>SUM(F40:F52)</f>
        <v>0</v>
      </c>
      <c r="G54" s="26">
        <f>SUM(G40:G52)</f>
        <v>0</v>
      </c>
      <c r="H54" s="26">
        <f>SUM(H40:H52)</f>
        <v>0</v>
      </c>
    </row>
    <row r="55" spans="1:8" x14ac:dyDescent="0.25">
      <c r="A55" s="27"/>
      <c r="B55" s="28"/>
      <c r="C55" s="29"/>
      <c r="D55" s="29"/>
      <c r="E55" s="24"/>
      <c r="F55" s="24"/>
      <c r="G55" s="24"/>
      <c r="H55" s="24"/>
    </row>
    <row r="56" spans="1:8" x14ac:dyDescent="0.25">
      <c r="A56" s="27"/>
      <c r="B56" s="28"/>
      <c r="C56" s="29"/>
      <c r="D56" s="29"/>
      <c r="E56" s="24"/>
      <c r="F56" s="24"/>
      <c r="G56" s="24"/>
      <c r="H56" s="24"/>
    </row>
    <row r="57" spans="1:8" x14ac:dyDescent="0.25">
      <c r="A57" s="7" t="s">
        <v>245</v>
      </c>
      <c r="B57" s="30" t="s">
        <v>246</v>
      </c>
      <c r="C57" s="25">
        <f>C36-C54</f>
        <v>0</v>
      </c>
      <c r="D57" s="46"/>
      <c r="E57" s="46"/>
      <c r="F57" s="46"/>
      <c r="G57" s="46"/>
      <c r="H57" s="46"/>
    </row>
    <row r="58" spans="1:8" x14ac:dyDescent="0.25">
      <c r="A58" s="7" t="s">
        <v>247</v>
      </c>
      <c r="B58" s="30" t="s">
        <v>248</v>
      </c>
      <c r="C58" s="25">
        <v>0</v>
      </c>
      <c r="D58" s="46"/>
      <c r="E58" s="46"/>
      <c r="F58" s="46"/>
      <c r="G58" s="46"/>
      <c r="H58" s="46"/>
    </row>
    <row r="59" spans="1:8" x14ac:dyDescent="0.25">
      <c r="A59" s="7" t="s">
        <v>249</v>
      </c>
      <c r="B59" s="31" t="s">
        <v>250</v>
      </c>
      <c r="C59" s="22">
        <f>C57-C58</f>
        <v>0</v>
      </c>
      <c r="D59" s="46"/>
      <c r="E59" s="32"/>
      <c r="F59" s="46"/>
      <c r="G59" s="46"/>
      <c r="H59" s="46"/>
    </row>
    <row r="62" spans="1:8" x14ac:dyDescent="0.25">
      <c r="A62" s="33" t="s">
        <v>24</v>
      </c>
      <c r="C62" s="47" t="s">
        <v>25</v>
      </c>
    </row>
    <row r="63" spans="1:8" x14ac:dyDescent="0.25">
      <c r="B63" s="48" t="s">
        <v>26</v>
      </c>
      <c r="C63" s="49" t="s">
        <v>27</v>
      </c>
    </row>
    <row r="65" spans="1:3" x14ac:dyDescent="0.25">
      <c r="A65" s="50" t="s">
        <v>28</v>
      </c>
      <c r="C65" s="50" t="s">
        <v>29</v>
      </c>
    </row>
    <row r="66" spans="1:3" x14ac:dyDescent="0.25">
      <c r="B66" s="48" t="s">
        <v>26</v>
      </c>
      <c r="C66" s="51" t="s">
        <v>27</v>
      </c>
    </row>
  </sheetData>
  <mergeCells count="2">
    <mergeCell ref="G2:H2"/>
    <mergeCell ref="A4:H4"/>
  </mergeCells>
  <conditionalFormatting sqref="E29:H30 D10:H20 D33:H34 D29 C40 C23 C10 D52 D40:D44 D46:D50 D23:H26 E40:H45 E47:H52">
    <cfRule type="cellIs" dxfId="6" priority="5" stopIfTrue="1" operator="greaterThan">
      <formula>0</formula>
    </cfRule>
  </conditionalFormatting>
  <conditionalFormatting sqref="D30">
    <cfRule type="cellIs" dxfId="5" priority="6" stopIfTrue="1" operator="greaterThan">
      <formula>0</formula>
    </cfRule>
    <cfRule type="cellIs" dxfId="4" priority="7" stopIfTrue="1" operator="lessThan">
      <formula>0</formula>
    </cfRule>
  </conditionalFormatting>
  <conditionalFormatting sqref="D45">
    <cfRule type="cellIs" dxfId="3" priority="4" stopIfTrue="1" operator="greaterThan">
      <formula>0</formula>
    </cfRule>
  </conditionalFormatting>
  <conditionalFormatting sqref="E46">
    <cfRule type="cellIs" dxfId="2" priority="3" stopIfTrue="1" operator="greaterThan">
      <formula>0</formula>
    </cfRule>
  </conditionalFormatting>
  <conditionalFormatting sqref="F46:H46">
    <cfRule type="cellIs" dxfId="1" priority="2" stopIfTrue="1" operator="greaterThan">
      <formula>0</formula>
    </cfRule>
  </conditionalFormatting>
  <conditionalFormatting sqref="D51">
    <cfRule type="cellIs" dxfId="0" priority="1" stopIfTrue="1" operator="greaterThan">
      <formula>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182</vt:i4>
      </vt:variant>
    </vt:vector>
  </HeadingPairs>
  <TitlesOfParts>
    <vt:vector size="185" baseType="lpstr">
      <vt:lpstr>Приложение 2 (НП)</vt:lpstr>
      <vt:lpstr>Приложение 3 (Свод)</vt:lpstr>
      <vt:lpstr>Приложение 4 (Отчет МСФО)</vt:lpstr>
      <vt:lpstr>N1_B10</vt:lpstr>
      <vt:lpstr>N1_B11</vt:lpstr>
      <vt:lpstr>N1_B12</vt:lpstr>
      <vt:lpstr>N1_B13</vt:lpstr>
      <vt:lpstr>N1_B14</vt:lpstr>
      <vt:lpstr>N1_B15</vt:lpstr>
      <vt:lpstr>N1_B16</vt:lpstr>
      <vt:lpstr>N1_B17</vt:lpstr>
      <vt:lpstr>N1_B17_1</vt:lpstr>
      <vt:lpstr>N1_B18</vt:lpstr>
      <vt:lpstr>N1_B18_1</vt:lpstr>
      <vt:lpstr>N1_B19</vt:lpstr>
      <vt:lpstr>N1_B19_1</vt:lpstr>
      <vt:lpstr>N1_B20</vt:lpstr>
      <vt:lpstr>N1_B3</vt:lpstr>
      <vt:lpstr>N1_B4</vt:lpstr>
      <vt:lpstr>N1_B5</vt:lpstr>
      <vt:lpstr>N1_B8</vt:lpstr>
      <vt:lpstr>N1_B9</vt:lpstr>
      <vt:lpstr>N1_BalNkdBrub_DH</vt:lpstr>
      <vt:lpstr>N1_BalNkdBVN_DH</vt:lpstr>
      <vt:lpstr>N1_BalSumRub_DH</vt:lpstr>
      <vt:lpstr>N1_BalSumVN_DH</vt:lpstr>
      <vt:lpstr>N1_Code</vt:lpstr>
      <vt:lpstr>N1_CodeB</vt:lpstr>
      <vt:lpstr>N1_ComBRub</vt:lpstr>
      <vt:lpstr>N1_ContB_Name</vt:lpstr>
      <vt:lpstr>N1_ContB_VZL</vt:lpstr>
      <vt:lpstr>N1_CrVNrub_DDB</vt:lpstr>
      <vt:lpstr>N1_CrVNrub_DH</vt:lpstr>
      <vt:lpstr>N1_DDB</vt:lpstr>
      <vt:lpstr>N1_DR</vt:lpstr>
      <vt:lpstr>N1_H0_1</vt:lpstr>
      <vt:lpstr>N1_ISIN</vt:lpstr>
      <vt:lpstr>N1_LastCoupDate</vt:lpstr>
      <vt:lpstr>N1_MainTable</vt:lpstr>
      <vt:lpstr>N1_NkdBrub_DDB</vt:lpstr>
      <vt:lpstr>N1_NkdBrub_DH</vt:lpstr>
      <vt:lpstr>N1_NkdBVN_DDB</vt:lpstr>
      <vt:lpstr>N1_NkdBVN_DH</vt:lpstr>
      <vt:lpstr>N1_NkdRepChgNumRub</vt:lpstr>
      <vt:lpstr>N1_NkdRepRub3</vt:lpstr>
      <vt:lpstr>N1_NkdRepVN</vt:lpstr>
      <vt:lpstr>N1_NomVN_DDB</vt:lpstr>
      <vt:lpstr>N1_NomVN_DH</vt:lpstr>
      <vt:lpstr>N1_NumReg</vt:lpstr>
      <vt:lpstr>N1_O1</vt:lpstr>
      <vt:lpstr>N1_PrBnom</vt:lpstr>
      <vt:lpstr>N1_PrBVN</vt:lpstr>
      <vt:lpstr>N1_QntyB</vt:lpstr>
      <vt:lpstr>N1_QntyB_OR</vt:lpstr>
      <vt:lpstr>N1_QntyOst</vt:lpstr>
      <vt:lpstr>N1_QntyS</vt:lpstr>
      <vt:lpstr>N1_QntyS_PR</vt:lpstr>
      <vt:lpstr>N1_SecCode</vt:lpstr>
      <vt:lpstr>N1_SecName</vt:lpstr>
      <vt:lpstr>N1_SumBrub_DDB</vt:lpstr>
      <vt:lpstr>N1_SumBrub_DH</vt:lpstr>
      <vt:lpstr>N1_SumBVN_DDB</vt:lpstr>
      <vt:lpstr>N1_SumBVN_DH</vt:lpstr>
      <vt:lpstr>N1_VN</vt:lpstr>
      <vt:lpstr>N1_VR1</vt:lpstr>
      <vt:lpstr>N1_VR2</vt:lpstr>
      <vt:lpstr>N1_ДолжностьОперациониста</vt:lpstr>
      <vt:lpstr>N1_ДолжностьРуководителяПодразделения</vt:lpstr>
      <vt:lpstr>N1_Операционист</vt:lpstr>
      <vt:lpstr>N1_РуководительПодразделения</vt:lpstr>
      <vt:lpstr>N2_Acc_Disk</vt:lpstr>
      <vt:lpstr>N2_Acc_Rest</vt:lpstr>
      <vt:lpstr>N2_AccCoupB</vt:lpstr>
      <vt:lpstr>N2_AccCoupS</vt:lpstr>
      <vt:lpstr>N2_AccDoh_Coup</vt:lpstr>
      <vt:lpstr>N2_AccDoh_Disk</vt:lpstr>
      <vt:lpstr>N2_AccDoh_Pereoc</vt:lpstr>
      <vt:lpstr>N2_AccDoh_Rest</vt:lpstr>
      <vt:lpstr>N2_AccRash_Pereoc</vt:lpstr>
      <vt:lpstr>N2_AccRash_Rest</vt:lpstr>
      <vt:lpstr>N2_AccRepCoupB</vt:lpstr>
      <vt:lpstr>N2_AccRepCoupS</vt:lpstr>
      <vt:lpstr>N2_AccRepDisk</vt:lpstr>
      <vt:lpstr>N2_AccRepRest</vt:lpstr>
      <vt:lpstr>N2_B14</vt:lpstr>
      <vt:lpstr>N2_B15</vt:lpstr>
      <vt:lpstr>N2_B16</vt:lpstr>
      <vt:lpstr>N2_B17</vt:lpstr>
      <vt:lpstr>N2_B21</vt:lpstr>
      <vt:lpstr>N2_B5</vt:lpstr>
      <vt:lpstr>N2_BalDoh_Coup</vt:lpstr>
      <vt:lpstr>N2_BalDoh_Disk</vt:lpstr>
      <vt:lpstr>N2_BalDoh_Rest</vt:lpstr>
      <vt:lpstr>N2_BalRash_Rest</vt:lpstr>
      <vt:lpstr>N2_BS6</vt:lpstr>
      <vt:lpstr>N2_Code</vt:lpstr>
      <vt:lpstr>N2_Comiss</vt:lpstr>
      <vt:lpstr>N2_DGO</vt:lpstr>
      <vt:lpstr>N2_Diff</vt:lpstr>
      <vt:lpstr>N2_Doh_All</vt:lpstr>
      <vt:lpstr>N2_Doh_Deriv</vt:lpstr>
      <vt:lpstr>N2_DohNkd_Tx</vt:lpstr>
      <vt:lpstr>N2_DohPerMarkt</vt:lpstr>
      <vt:lpstr>N2_DohPrcRep</vt:lpstr>
      <vt:lpstr>N2_DohRepRub</vt:lpstr>
      <vt:lpstr>N2_DohRez</vt:lpstr>
      <vt:lpstr>N2_Fin_Res</vt:lpstr>
      <vt:lpstr>N2_FinRes_Diff</vt:lpstr>
      <vt:lpstr>N2_H0_1</vt:lpstr>
      <vt:lpstr>N2_ISIN</vt:lpstr>
      <vt:lpstr>N2_K1</vt:lpstr>
      <vt:lpstr>N2_K10</vt:lpstr>
      <vt:lpstr>N2_K11</vt:lpstr>
      <vt:lpstr>N2_K12</vt:lpstr>
      <vt:lpstr>N2_K13</vt:lpstr>
      <vt:lpstr>N2_K14</vt:lpstr>
      <vt:lpstr>N2_K15</vt:lpstr>
      <vt:lpstr>N2_K16</vt:lpstr>
      <vt:lpstr>N2_K17</vt:lpstr>
      <vt:lpstr>N2_K18</vt:lpstr>
      <vt:lpstr>N2_K2</vt:lpstr>
      <vt:lpstr>N2_K3</vt:lpstr>
      <vt:lpstr>N2_K4</vt:lpstr>
      <vt:lpstr>N2_K5</vt:lpstr>
      <vt:lpstr>N2_K6</vt:lpstr>
      <vt:lpstr>N2_K7</vt:lpstr>
      <vt:lpstr>N2_K8</vt:lpstr>
      <vt:lpstr>N2_K9</vt:lpstr>
      <vt:lpstr>N2_MainTable</vt:lpstr>
      <vt:lpstr>N2_MinusCurrPereoc</vt:lpstr>
      <vt:lpstr>N2_MinusPereoc_Account</vt:lpstr>
      <vt:lpstr>N2_MinusPereoc_Diff</vt:lpstr>
      <vt:lpstr>N2_NkdBRub</vt:lpstr>
      <vt:lpstr>N2_NkdPrevRub</vt:lpstr>
      <vt:lpstr>N2_NkdRepRub</vt:lpstr>
      <vt:lpstr>N2_NkdRub</vt:lpstr>
      <vt:lpstr>N2_NkdSRub</vt:lpstr>
      <vt:lpstr>N2_NumReg</vt:lpstr>
      <vt:lpstr>N2_PlusCurrPereoc</vt:lpstr>
      <vt:lpstr>N2_PlusPereoc_Account</vt:lpstr>
      <vt:lpstr>N2_PlusPereoc_Diff</vt:lpstr>
      <vt:lpstr>N2_ProcAllRub</vt:lpstr>
      <vt:lpstr>N2_PrtfCateg</vt:lpstr>
      <vt:lpstr>N2_Rash_All</vt:lpstr>
      <vt:lpstr>N2_Rash_Deriv</vt:lpstr>
      <vt:lpstr>N2_RashAll_Tx</vt:lpstr>
      <vt:lpstr>N2_RashNkd_Tx</vt:lpstr>
      <vt:lpstr>N2_RashPerMarkt</vt:lpstr>
      <vt:lpstr>N2_RashPrcRep</vt:lpstr>
      <vt:lpstr>N2_RashRepRub</vt:lpstr>
      <vt:lpstr>N2_RashRez</vt:lpstr>
      <vt:lpstr>N2_RashRez_DH</vt:lpstr>
      <vt:lpstr>N2_RashRez_Prev</vt:lpstr>
      <vt:lpstr>N2_S13</vt:lpstr>
      <vt:lpstr>N2_S18</vt:lpstr>
      <vt:lpstr>N2_S20</vt:lpstr>
      <vt:lpstr>N2_S21</vt:lpstr>
      <vt:lpstr>N2_S22</vt:lpstr>
      <vt:lpstr>N2_S23</vt:lpstr>
      <vt:lpstr>N2_S5</vt:lpstr>
      <vt:lpstr>N2_S8</vt:lpstr>
      <vt:lpstr>N2_S9</vt:lpstr>
      <vt:lpstr>N2_SecCode</vt:lpstr>
      <vt:lpstr>N2_SecName</vt:lpstr>
      <vt:lpstr>N2_StRate</vt:lpstr>
      <vt:lpstr>N2_SumBrub</vt:lpstr>
      <vt:lpstr>N2_SumSrub</vt:lpstr>
      <vt:lpstr>N2_SumSrub_Tx</vt:lpstr>
      <vt:lpstr>N2_Taxe_All</vt:lpstr>
      <vt:lpstr>N2_Taxe_Diff</vt:lpstr>
      <vt:lpstr>N2_Taxe_RashDiff</vt:lpstr>
      <vt:lpstr>N2_Taxe_StRate15</vt:lpstr>
      <vt:lpstr>N2_Taxe_StRate20</vt:lpstr>
      <vt:lpstr>N2_TxStR20_Rez</vt:lpstr>
      <vt:lpstr>N2_VN</vt:lpstr>
      <vt:lpstr>N2_ДолжностьОперациониста</vt:lpstr>
      <vt:lpstr>N2_ДолжностьРуководителяПодразделения</vt:lpstr>
      <vt:lpstr>N2_Операционист</vt:lpstr>
      <vt:lpstr>N2_РуководительПодразделения</vt:lpstr>
      <vt:lpstr>N3_H0_1</vt:lpstr>
      <vt:lpstr>N3_H1</vt:lpstr>
      <vt:lpstr>N3_ДолжностьОперациониста</vt:lpstr>
      <vt:lpstr>N3_ДолжностьРуководителяПодразделения</vt:lpstr>
      <vt:lpstr>N3_Операционист</vt:lpstr>
      <vt:lpstr>N3_РуководительПодразделения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Dubovoy Andrey</dc:creator>
  <cp:lastModifiedBy>Nikolskaya Galina</cp:lastModifiedBy>
  <dcterms:created xsi:type="dcterms:W3CDTF">2019-03-13T12:14:10Z</dcterms:created>
  <dcterms:modified xsi:type="dcterms:W3CDTF">2025-05-19T19:00:17Z</dcterms:modified>
</cp:coreProperties>
</file>