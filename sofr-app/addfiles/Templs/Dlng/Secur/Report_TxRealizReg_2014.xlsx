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0211" sheetId="1" state="visible" r:id="rId2"/>
    <sheet name="0211_Свод" sheetId="2" state="visible" r:id="rId3"/>
    <sheet name="0212" sheetId="3" state="visible" r:id="rId4"/>
    <sheet name="0212_Свод" sheetId="4" state="visible" r:id="rId5"/>
    <sheet name="0213" sheetId="5" state="visible" r:id="rId6"/>
    <sheet name="0215" sheetId="6" state="visible" r:id="rId7"/>
    <sheet name="0215_Свод" sheetId="7" state="visible" r:id="rId8"/>
    <sheet name="0216" sheetId="8" state="visible" r:id="rId9"/>
  </sheets>
  <definedNames>
    <definedName name="N1_APS">'0211'!$BO$14</definedName>
    <definedName name="N1_CodeB">'0211'!$N$14</definedName>
    <definedName name="N1_CodeS">'0211'!$D$14</definedName>
    <definedName name="N1_ComB">'0211'!$X$14</definedName>
    <definedName name="N1_ComB_Another">'0211'!$BE$14</definedName>
    <definedName name="N1_ComS">'0211'!$W$14</definedName>
    <definedName name="N1_ComS_Another">'0211'!$AQ$14</definedName>
    <definedName name="N1_ContB">'0211'!$BI$14</definedName>
    <definedName name="N1_Control_CommentB">'0211'!$BD$14</definedName>
    <definedName name="N1_Control_CommentS">'0211'!$AP$14</definedName>
    <definedName name="N1_ContS">'0211'!$BH$14</definedName>
    <definedName name="N1_Cr_Val_MrkBZ">'0211'!$AU$14</definedName>
    <definedName name="N1_Cr_Val_MrkSZ">'0211'!$AG$14</definedName>
    <definedName name="N1_CrBD">'0211'!$AS$14</definedName>
    <definedName name="N1_CrBZ">'0211'!$AT$14</definedName>
    <definedName name="N1_CrSD">'0211'!$AE$14</definedName>
    <definedName name="N1_CrSZ">'0211'!$AF$14</definedName>
    <definedName name="N1_DDB">'0211'!$P$14</definedName>
    <definedName name="N1_DDS">'0211'!$F$14</definedName>
    <definedName name="N1_DGO">'0211'!$BQ$14</definedName>
    <definedName name="N1_DifB">'0211'!$U$14</definedName>
    <definedName name="N1_DifS">'0211'!$M$14</definedName>
    <definedName name="N1_DMrktB">'0211'!$AZ$14</definedName>
    <definedName name="N1_DMrktS">'0211'!$AL$14</definedName>
    <definedName name="N1_DPB_DDB">'0211'!$AV$14</definedName>
    <definedName name="N1_DPS_DDS">'0211'!$AH$14</definedName>
    <definedName name="N1_DqualB">'0211'!$BG$14</definedName>
    <definedName name="N1_DqualS">'0211'!$BF$14</definedName>
    <definedName name="N1_DRB">'0211'!$AR$14</definedName>
    <definedName name="N1_DRS">'0211'!$AD$14</definedName>
    <definedName name="N1_Dummy1">'0211'!$A$14</definedName>
    <definedName name="N1_DZB">'0211'!$O$14</definedName>
    <definedName name="N1_DZS">'0211'!$E$14</definedName>
    <definedName name="N1_Fin_Res">'0211'!$BL$14</definedName>
    <definedName name="N1_H0_11">'0211_Свод'!$D$19</definedName>
    <definedName name="N1_H0_13">'0211'!$I$1</definedName>
    <definedName name="N1_H0_7">'0211_Свод'!$B$16</definedName>
    <definedName name="N1_H0_8">'0211_Свод'!$B$17</definedName>
    <definedName name="N1_H0_9">'0211_Свод'!$D$18</definedName>
    <definedName name="N1_H0_A">'0211_Свод'!$A$7</definedName>
    <definedName name="N1_H0_AnRegistr">'0211'!$B$3</definedName>
    <definedName name="N1_H0_AnRegistrTxt">'0211'!$B$4</definedName>
    <definedName name="N1_H0_B_INN">'0211_Свод'!$B$8</definedName>
    <definedName name="N1_H0_B_KPP">'0211_Свод'!$B$9</definedName>
    <definedName name="N1_H0_CodeNU">'0211'!$L$6</definedName>
    <definedName name="N1_H0_CodeNU2">'0211'!$AA$6</definedName>
    <definedName name="N1_H0_PeriodCode">'0211'!$E$1</definedName>
    <definedName name="N1_H0_PeriodTxt">'0211'!$C$5</definedName>
    <definedName name="N1_H0_Year">'0211'!$C$1</definedName>
    <definedName name="N1_ISIN">'0211'!$BN$14</definedName>
    <definedName name="N1_K_ControlB">'0211'!$BC$14</definedName>
    <definedName name="N1_K_ControlS">'0211'!$AO$14</definedName>
    <definedName name="N1_MainTable">'0211'!$A$14:$BQ$14</definedName>
    <definedName name="N1_MaxMrkt">'0211'!$AW$14</definedName>
    <definedName name="N1_MinMrkt">'0211'!$AI$14</definedName>
    <definedName name="N1_MrktB">'0211'!$AY$14</definedName>
    <definedName name="N1_MrktS">'0211'!$AK$14</definedName>
    <definedName name="N1_NDSComB">'0211'!$Z$15</definedName>
    <definedName name="N1_NDSComS">'0211'!$Y$14</definedName>
    <definedName name="N1_PrBvp">'0211'!$R$14</definedName>
    <definedName name="N1_PrSvp">'0211'!$J$14</definedName>
    <definedName name="N1_Qnty">'0211'!$G$14</definedName>
    <definedName name="N1_QuoteValueB">'0211'!$BA$14</definedName>
    <definedName name="N1_QuoteValueS">'0211'!$AM$14</definedName>
    <definedName name="N1_RashAll">'0211'!$AA$14</definedName>
    <definedName name="N1_RCB">'0211'!$BB$14</definedName>
    <definedName name="N1_RCS">'0211'!$AN$14</definedName>
    <definedName name="N1_RFISSB">'0211'!$AC$14</definedName>
    <definedName name="N1_RFISSS">'0211'!$AB$14</definedName>
    <definedName name="N1_SecCode">'0211'!$B$14</definedName>
    <definedName name="N1_SecLax">'0211'!$BM$14</definedName>
    <definedName name="N1_SecName">'0211'!$C$14</definedName>
    <definedName name="N1_SecType">'0211'!$BJ$14</definedName>
    <definedName name="N1_SumBrub">'0211'!$T$14</definedName>
    <definedName name="N1_SumBtax">'0211'!$V$14</definedName>
    <definedName name="N1_SumBvp">'0211'!$S$14</definedName>
    <definedName name="N1_SumSrub">'0211'!$L$14</definedName>
    <definedName name="N1_SumSvp">'0211'!$K$14</definedName>
    <definedName name="N1_TableHeader">'0211'!$A$1:$BQ$13</definedName>
    <definedName name="N1_Taxe_All">'0211'!$BK$14</definedName>
    <definedName name="N1_Val_MarketB">'0211'!$AX$14</definedName>
    <definedName name="N1_Val_MarketS">'0211'!$AJ$14</definedName>
    <definedName name="N1_VN">'0211'!$H$14</definedName>
    <definedName name="N1_VPrB">'0211'!$Q$14</definedName>
    <definedName name="N1_VPrS">'0211'!$I$14</definedName>
    <definedName name="N1_ДатаСоставления">'0211_Свод'!$C$1</definedName>
    <definedName name="N1_НомерОпера">'0211_Свод'!$C$2</definedName>
    <definedName name="N1_Операционист">'0211'!$D$10</definedName>
    <definedName name="N11_ComS_ComB">'0211_Свод'!$H$27</definedName>
    <definedName name="N11_DifB">'0211_Свод'!$F$27</definedName>
    <definedName name="N11_DifS">'0211_Свод'!$G$27</definedName>
    <definedName name="N11_Fin_Res">'0211_Свод'!$E$27</definedName>
    <definedName name="N11_H0_11">'0211_Свод'!$D$19</definedName>
    <definedName name="N11_H0_7">'0211_Свод'!$B$16</definedName>
    <definedName name="N11_H0_8">'0211_Свод'!$B$17</definedName>
    <definedName name="N11_H0_9">'0211_Свод'!$D$18</definedName>
    <definedName name="N11_H0_A">'0211_Свод'!$A$7</definedName>
    <definedName name="N11_H0_B_INN">'0211_Свод'!$B$8</definedName>
    <definedName name="N11_H0_B_KPP">'0211_Свод'!$B$9</definedName>
    <definedName name="N11_ISIN">'0211_Свод'!$Q$27</definedName>
    <definedName name="N11_MainTable">'0211_Свод'!$A$27:$Q$27</definedName>
    <definedName name="N11_Qnty">'0211_Свод'!$L$27</definedName>
    <definedName name="N11_RashAll">'0211_Свод'!$N$27</definedName>
    <definedName name="N11_RegNum">'0211_Свод'!$A$27</definedName>
    <definedName name="N11_SecCode">'0211_Свод'!$C$27</definedName>
    <definedName name="N11_SecName">'0211_Свод'!$D$27</definedName>
    <definedName name="N11_SecType">'0211_Свод'!$B$27</definedName>
    <definedName name="N11_SumBvp">'0211_Свод'!$P$27</definedName>
    <definedName name="N11_SumSrub">'0211_Свод'!$M$27</definedName>
    <definedName name="N11_SumSvp">'0211_Свод'!$O$27</definedName>
    <definedName name="N11_TableHeader">'0211_Свод'!$A$1:$Q$26</definedName>
    <definedName name="N11_Taxe_All">'0211_Свод'!$I$27</definedName>
    <definedName name="N11_Taxe_All_2">'0211_Свод'!$J$27</definedName>
    <definedName name="N11_Taxe_All_3">'0211_Свод'!$K$27</definedName>
    <definedName name="N11_ДатаСоставления">'0211_Свод'!$C$1</definedName>
    <definedName name="N11_НомерОпера">'0211_Свод'!$C$2</definedName>
    <definedName name="N11_Операционист">'0211_Свод'!$D$2</definedName>
    <definedName name="N2_AmortVN">'0212'!$BS$27</definedName>
    <definedName name="N2_AmortVN_after">'0212'!$BU$27</definedName>
    <definedName name="N2_AmortVN_before">'0212'!$BT$27</definedName>
    <definedName name="N2_AmortVNPer">'0212'!$BV$27</definedName>
    <definedName name="N2_AmortVNrep">'0212'!$P$27</definedName>
    <definedName name="N2_APB">'0212'!$CQ$27</definedName>
    <definedName name="N2_APS">'0212'!$CP$27</definedName>
    <definedName name="N2_CodeB">'0212'!$Q$27</definedName>
    <definedName name="N2_CodeS">'0212'!$C$27</definedName>
    <definedName name="N2_ComB">'0212'!$AB$27</definedName>
    <definedName name="N2_ComB_Another">'0212'!$BH$27</definedName>
    <definedName name="N2_ComS">'0212'!$AA$27</definedName>
    <definedName name="N2_ComS_Another">'0212'!$AV$27</definedName>
    <definedName name="N2_ContB">'0212'!$CB$27</definedName>
    <definedName name="N2_Control_CommentB">'0212'!$BG$27</definedName>
    <definedName name="N2_Control_CommentS">'0212'!$AU$27</definedName>
    <definedName name="N2_ControlNKD">'0212'!$BR$27</definedName>
    <definedName name="N2_ContS">'0212'!$CA$27</definedName>
    <definedName name="N2_CoupVN">'0212'!$BP$27</definedName>
    <definedName name="N2_CrBD">'0212'!$AX$27</definedName>
    <definedName name="N2_CrSD">'0212'!$AL$27</definedName>
    <definedName name="N2_DDB">'0212'!$S$27</definedName>
    <definedName name="N2_DDS">'0212'!$E$27</definedName>
    <definedName name="N2_DGO">'0212'!$CR$27</definedName>
    <definedName name="N2_DifS">'0212'!$L$27</definedName>
    <definedName name="N2_DifSumBRub">'0212'!$W$27</definedName>
    <definedName name="N2_DifSumBRub_AmortPrev">'0212'!$Y$27</definedName>
    <definedName name="N2_DMrktB">'0212'!$BC$27</definedName>
    <definedName name="N2_DMrktS">'0212'!$AQ$27</definedName>
    <definedName name="N2_DqualB">'0212'!$BZ$27</definedName>
    <definedName name="N2_DqualS">'0212'!$BY$27</definedName>
    <definedName name="N2_DRB">'0212'!$AW$27</definedName>
    <definedName name="N2_DRS">'0212'!$AK$27</definedName>
    <definedName name="N2_DZB">'0212'!$R$27</definedName>
    <definedName name="N2_DZS">'0212'!$D$27</definedName>
    <definedName name="N2_Fin_Res">'0212'!$CG$27</definedName>
    <definedName name="N2_H0_11">'0212'!$C$19</definedName>
    <definedName name="N2_H0_13">'0212'!$A$20</definedName>
    <definedName name="N2_H0_3">'0212'!$B$10</definedName>
    <definedName name="N2_H0_7">'0212'!$B$16</definedName>
    <definedName name="N2_H0_8">'0212'!$B$17</definedName>
    <definedName name="N2_H0_9">'0212'!$C$18</definedName>
    <definedName name="N2_H0_A">'0212'!$A$7</definedName>
    <definedName name="N2_H0_B_INN">'0212'!$B$8</definedName>
    <definedName name="N2_H0_B_KPP">'0212'!$B$9</definedName>
    <definedName name="N2_ifCoupPrev">'0212'!$BM$27</definedName>
    <definedName name="N2_ISIN">'0212'!$CJ$27</definedName>
    <definedName name="N2_K_ControlB">'0212'!$BF$27</definedName>
    <definedName name="N2_K_ControlS">'0212'!$AT$27</definedName>
    <definedName name="N2_KSumBvn">'0212'!$BW$27</definedName>
    <definedName name="N2_LastCoupDate">'0212'!$BQ$27</definedName>
    <definedName name="N2_MainTable">'0212'!$A$27:$CR$27</definedName>
    <definedName name="N2_MaxMrkt">'0212'!$AZ$27</definedName>
    <definedName name="N2_MinMrkt">'0212'!$AN$27</definedName>
    <definedName name="N2_MinusNom_IN">'0212'!$CN$27</definedName>
    <definedName name="N2_MrktB">'0212'!$BB$27</definedName>
    <definedName name="N2_MrktS">'0212'!$AP$27</definedName>
    <definedName name="N2_NDSComB">'0212'!$AD$27</definedName>
    <definedName name="N2_NDSComS">'0212'!$AC$27</definedName>
    <definedName name="N2_NkdBprevRub">'0212'!$BJ$27</definedName>
    <definedName name="N2_NkdBrepRub">'0212'!$BK$27</definedName>
    <definedName name="N2_NkdBsellRub">'0212'!$BL$27</definedName>
    <definedName name="N2_NkdBvp">'0212'!$V$27</definedName>
    <definedName name="N2_NKDminusRub">'0212'!$K$27</definedName>
    <definedName name="N2_NkdPrevVN">'0212'!$BO$27</definedName>
    <definedName name="N2_NkdRepRub">'0212'!$M$27</definedName>
    <definedName name="N2_NkdRepRub1">'0212'!$N$27</definedName>
    <definedName name="N2_NkdRepRub2">'0212'!$O$27</definedName>
    <definedName name="N2_NkdRepRubAll">'0212'!$CI$27</definedName>
    <definedName name="N2_NkdSvp">'0212'!$I$27</definedName>
    <definedName name="N2_Nom__DDB">'0212'!$AG$27</definedName>
    <definedName name="N2_Nom__DDS">'0212'!$AF$27</definedName>
    <definedName name="N2_Nom_H01">'0212'!$CK$27</definedName>
    <definedName name="N2_Nom_H02">'0212'!$CL$27</definedName>
    <definedName name="N2_Nom_IN_Before">'0212'!$CO$27</definedName>
    <definedName name="N2_PlusNom_IN">'0212'!$CM$27</definedName>
    <definedName name="N2_PrBnom">'0212'!$T$27</definedName>
    <definedName name="N2_PrSNom">'0212'!$G$27</definedName>
    <definedName name="N2_Qnty">'0212'!$F$27</definedName>
    <definedName name="N2_QuoteValueB">'0212'!$BD$27</definedName>
    <definedName name="N2_QuoteValueS">'0212'!$AR$27</definedName>
    <definedName name="N2_RashAll">'0212'!$AE$27</definedName>
    <definedName name="N2_RCB">'0212'!$BE$27</definedName>
    <definedName name="N2_RCS">'0212'!$AS$27</definedName>
    <definedName name="N2_RFISSB">'0212'!$AI$27</definedName>
    <definedName name="N2_RFISSS">'0212'!$AH$27</definedName>
    <definedName name="N2_SecCode">'0212'!$A$27</definedName>
    <definedName name="N2_SecLax">'0212'!$CH$27</definedName>
    <definedName name="N2_SecName">'0212'!$B$27</definedName>
    <definedName name="N2_SecType">'0212'!$CC$27</definedName>
    <definedName name="N2_SellType">'0212'!$AJ$27</definedName>
    <definedName name="N2_SumAllrub">'0212'!$J$27</definedName>
    <definedName name="N2_SumBNRub">'0212'!$X$27</definedName>
    <definedName name="N2_SumBrub">'0212'!$U$27</definedName>
    <definedName name="N2_SumBRub_AmortPrev">'0212'!$Z$27</definedName>
    <definedName name="N2_SumBvp">'0212'!$AY$27</definedName>
    <definedName name="N2_SumBvp_exps">'0212'!$BX$27</definedName>
    <definedName name="N2_SumSrub">'0212'!$H$27</definedName>
    <definedName name="N2_SumSvp">'0212'!$AM$27</definedName>
    <definedName name="N2_TableHeader">'0212'!$A$1:$CR$26</definedName>
    <definedName name="N2_Taxe_All">'0212'!$CD$27</definedName>
    <definedName name="N2_Taxe_Amort">'0212'!$CE$27</definedName>
    <definedName name="N2_Taxe_NKD">'0212'!$CF$27</definedName>
    <definedName name="N2_Tprev">'0212'!$BN$27</definedName>
    <definedName name="N2_Val_MarketB">'0212'!$BA$27</definedName>
    <definedName name="N2_Val_MarketS">'0212'!$AO$27</definedName>
    <definedName name="N2_ДатаСоставления">'0212'!$C$1</definedName>
    <definedName name="N2_ДолжностьОперациониста">'0212'!$A$35</definedName>
    <definedName name="N2_ДолжностьРуководителяПодразделения">'0212'!$A$32</definedName>
    <definedName name="N2_НомерОпера">'0212'!$C$2</definedName>
    <definedName name="N2_Операционист">'0212'!$D$2</definedName>
    <definedName name="N2_РуководительПодразделения">'0212'!$E$32</definedName>
    <definedName name="N21_AmortVNrep">'0212_Свод'!$V$27</definedName>
    <definedName name="N21_ComS_ComB">'0212_Свод'!$H$27</definedName>
    <definedName name="N21_CoupVN_NkdSvp">'0212_Свод'!$W$27</definedName>
    <definedName name="N21_DifS">'0212_Свод'!$G$27</definedName>
    <definedName name="N21_DifSumBRub">'0212_Свод'!$F$27</definedName>
    <definedName name="N21_Fin_Res">'0212_Свод'!$E$27</definedName>
    <definedName name="N21_ISIN">'0212_Свод'!$Z$27</definedName>
    <definedName name="N21_MainTable">'0212_Свод'!$A$27:$Z$27</definedName>
    <definedName name="N21_NkdBvp">'0212_Свод'!$U$27</definedName>
    <definedName name="N21_NKDminusRub">'0212_Свод'!$S$27</definedName>
    <definedName name="N21_NkdPrevVN">'0212_Свод'!$X$27</definedName>
    <definedName name="N21_NkdRepRub1">'0212_Свод'!$Q$27</definedName>
    <definedName name="N21_NkdRepRub2">'0212_Свод'!$R$27</definedName>
    <definedName name="N21_NkdRepRubAll">'0212_Свод'!$Y$27</definedName>
    <definedName name="N21_NkdSvp">'0212_Свод'!$T$27</definedName>
    <definedName name="N21_Qnty">'0212_Свод'!$L$27</definedName>
    <definedName name="N21_RashAll">'0212_Свод'!$N$27</definedName>
    <definedName name="N21_RegNum">'0212_Свод'!$A$27</definedName>
    <definedName name="N21_SecCode">'0212_Свод'!$C$27</definedName>
    <definedName name="N21_SecName">'0212_Свод'!$D$27</definedName>
    <definedName name="N21_SecType">'0212_Свод'!$B$27</definedName>
    <definedName name="N21_SumAllRub">'0212_Свод'!$M$27</definedName>
    <definedName name="N21_SumBvp_exps">'0212_Свод'!$P$27</definedName>
    <definedName name="N21_SumSvp">'0212_Свод'!$O$27</definedName>
    <definedName name="N21_TableHeader">'0212_Свод'!$A$1:$Z$26</definedName>
    <definedName name="N21_Taxe_All">'0212_Свод'!$I$27</definedName>
    <definedName name="N21_Taxe_Amort">'0212_Свод'!$J$27</definedName>
    <definedName name="N21_Taxe_NKD">'0212_Свод'!$K$27</definedName>
    <definedName name="N3_CodeB">'0213'!$X$14</definedName>
    <definedName name="N3_CodeS">'0213'!$D$14</definedName>
    <definedName name="N3_ComB">'0213'!$AH$14</definedName>
    <definedName name="N3_ComS">'0213'!$V$14</definedName>
    <definedName name="N3_ContB">'0213'!$AN$14</definedName>
    <definedName name="N3_ContS">'0213'!$AM$14</definedName>
    <definedName name="N3_DAuс">'0213'!$H$14</definedName>
    <definedName name="N3_DDB">'0213'!$Z$14</definedName>
    <definedName name="N3_DDS">'0213'!$F$14</definedName>
    <definedName name="N3_Dexp">'0213'!$I$14</definedName>
    <definedName name="N3_DGO">'0213'!$AU$14</definedName>
    <definedName name="N3_DifB">'0213'!$AF$14</definedName>
    <definedName name="N3_DifS">'0213'!$U$14</definedName>
    <definedName name="N3_DMrktB">'0213'!$AE$14</definedName>
    <definedName name="N3_DMrktS">'0213'!$T$14</definedName>
    <definedName name="N3_DqualB">'0213'!$AL$14</definedName>
    <definedName name="N3_DqualS">'0213'!$AK$14</definedName>
    <definedName name="N3_Dummy1">'0213'!$A$14</definedName>
    <definedName name="N3_DZB">'0213'!$Y$14</definedName>
    <definedName name="N3_DZS">'0213'!$E$14</definedName>
    <definedName name="N3_H0_13">'0213'!$I$1</definedName>
    <definedName name="N3_H0_AnRegistr">'0213'!$B$3</definedName>
    <definedName name="N3_H0_AnRegistrTxt">'0213'!$B$4</definedName>
    <definedName name="N3_H0_CodeNU_AJ">'0213'!$AJ$6</definedName>
    <definedName name="N3_H0_CodeNU_N">'0213'!$N$6</definedName>
    <definedName name="N3_H0_CodeNU_Q">'0213'!$Q$6</definedName>
    <definedName name="N3_H0_PeriodCode">'0213'!$E$1</definedName>
    <definedName name="N3_H0_PeriodTxt">'0213'!$C$5</definedName>
    <definedName name="N3_H0_Year">'0213'!$C$1</definedName>
    <definedName name="N3_ISIN">'0213'!$AT$14</definedName>
    <definedName name="N3_MainTable">'0213'!$A$14:$AU$14</definedName>
    <definedName name="N3_MaxMrkt">'0213'!$AC$14</definedName>
    <definedName name="N3_MinMrkt">'0213'!$R$14</definedName>
    <definedName name="N3_MrktB">'0213'!$AD$14</definedName>
    <definedName name="N3_MrktS">'0213'!$S$14</definedName>
    <definedName name="N3_NDSComB">'0213'!$AI$14</definedName>
    <definedName name="N3_NDSComS">'0213'!$W$14</definedName>
    <definedName name="N3_NkdBefVN">'0213'!$N$14</definedName>
    <definedName name="N3_NKDownVN">'0213'!$O$14</definedName>
    <definedName name="N3_NkdRepRub">'0213'!$P$14</definedName>
    <definedName name="N3_Nom">'0213'!$G$14</definedName>
    <definedName name="N3_PrAucNom">'0213'!$J$14</definedName>
    <definedName name="N3_PrBnom">'0213'!$AA$14</definedName>
    <definedName name="N3_PrSNom">'0213'!$L$14</definedName>
    <definedName name="N3_Qnty">'0213'!$K$14</definedName>
    <definedName name="N3_RashAll">'0213'!$AJ$14</definedName>
    <definedName name="N3_SecCode">'0213'!$B$14</definedName>
    <definedName name="N3_SecLax">'0213'!$AS$14</definedName>
    <definedName name="N3_SecName">'0213'!$C$14</definedName>
    <definedName name="N3_SecType">'0213'!$AO$14</definedName>
    <definedName name="N3_SumAllrub">'0213'!$Q$14</definedName>
    <definedName name="N3_SumBrub">'0213'!$AB$14</definedName>
    <definedName name="N3_SumBtax">'0213'!$AG$14</definedName>
    <definedName name="N3_SumSrub">'0213'!$M$14</definedName>
    <definedName name="N3_TableHeader">'0213'!$A$1:$AU$13</definedName>
    <definedName name="N3_Taxe_All">'0213'!$AP$14</definedName>
    <definedName name="N3_Taxe_Amort">'0213'!$AQ$14</definedName>
    <definedName name="N3_Taxe_NKD">'0213'!$AR$14</definedName>
    <definedName name="N3_Операционист">'0213'!$D$10</definedName>
    <definedName name="N5_AmortRubrep">'0215'!$T$14</definedName>
    <definedName name="N5_AmortVN">'0215'!$CA$14</definedName>
    <definedName name="N5_AmortVN_after">'0215'!$CC$14</definedName>
    <definedName name="N5_AmortVN_before">'0215'!$CB$14</definedName>
    <definedName name="N5_AmortVNPer">'0215'!$CD$14</definedName>
    <definedName name="N5_AmortVNrep">'0215'!$S$14</definedName>
    <definedName name="N5_APB">'0215'!$CU$14</definedName>
    <definedName name="N5_APS">'0215'!$CT$14</definedName>
    <definedName name="N5_CodeB">'0215'!$U$14</definedName>
    <definedName name="N5_CodeNU_AL">'0215'!$AL$6</definedName>
    <definedName name="N5_CodeNU_BR">'0215'!$BR$6</definedName>
    <definedName name="N5_CodeNU_BW">'0215'!$BW$6</definedName>
    <definedName name="N5_CodeNU_BY">'0215'!$BY$6</definedName>
    <definedName name="N5_CodeNU_N">'0215'!$N$6</definedName>
    <definedName name="N5_CodeNU_O">'0215'!$O$6</definedName>
    <definedName name="N5_CodeS">'0215'!$D$14</definedName>
    <definedName name="N5_ComB">'0215'!$AI$14</definedName>
    <definedName name="N5_ComB_Another">'0215'!$BO$14</definedName>
    <definedName name="N5_ComS">'0215'!$AH$14</definedName>
    <definedName name="N5_ComS_Another">'0215'!$BC$14</definedName>
    <definedName name="N5_ContB">'0215'!$CK$14</definedName>
    <definedName name="N5_Control_CommentB">'0215'!$BN$14</definedName>
    <definedName name="N5_Control_CommentS">'0215'!$BB$14</definedName>
    <definedName name="N5_ContS">'0215'!$CJ$14</definedName>
    <definedName name="N5_CoupRub">'0215'!$BY$14</definedName>
    <definedName name="N5_CoupVN">'0215'!$BX$14</definedName>
    <definedName name="N5_CrBD">'0215'!$BE$14</definedName>
    <definedName name="N5_CrSD">'0215'!$AS$14</definedName>
    <definedName name="N5_DDB">'0215'!$W$14</definedName>
    <definedName name="N5_DDS">'0215'!$F$14</definedName>
    <definedName name="N5_DGO">'0215'!$CV$14</definedName>
    <definedName name="N5_DifB">'0215'!$BP$14</definedName>
    <definedName name="N5_DifS">'0215'!$Q$14</definedName>
    <definedName name="N5_DifSumBRub">'0215'!$AD$14</definedName>
    <definedName name="N5_DifSumBRub_AmortPrev">'0215'!$AF$14</definedName>
    <definedName name="N5_DMrktB">'0215'!$BJ$14</definedName>
    <definedName name="N5_DMrktS">'0215'!$AX$14</definedName>
    <definedName name="N5_DPB_DDB">'0215'!$BF$14</definedName>
    <definedName name="N5_DPS_DDS">'0215'!$AT$14</definedName>
    <definedName name="N5_DqualB">'0215'!$CI$14</definedName>
    <definedName name="N5_DqualS">'0215'!$CH$14</definedName>
    <definedName name="N5_DRB">'0215'!$BD$14</definedName>
    <definedName name="N5_DRS">'0215'!$AR$14</definedName>
    <definedName name="N5_Dummy1">'0215'!$A$14</definedName>
    <definedName name="N5_DZB">'0215'!$V$14</definedName>
    <definedName name="N5_DZS">'0215'!$E$14</definedName>
    <definedName name="N5_Fin_Res">'0215'!$CP$14</definedName>
    <definedName name="N5_H0_13">'0215'!$I$1</definedName>
    <definedName name="N5_H0_AnRegistr">'0215'!$B$3</definedName>
    <definedName name="N5_H0_AnRegistrTxt">'0215'!$B$4</definedName>
    <definedName name="N5_H0_PeriodCode">'0215'!$E$1</definedName>
    <definedName name="N5_H0_PeriodTxt">'0215'!$C$5</definedName>
    <definedName name="N5_H0_Year">'0215'!$C$1</definedName>
    <definedName name="N5_ifCoupPrev">'0215'!$BT$14</definedName>
    <definedName name="N5_ISIN">'0215'!$CS$14</definedName>
    <definedName name="N5_K_ControlB">'0215'!$BM$14</definedName>
    <definedName name="N5_K_ControlS">'0215'!$BA$14</definedName>
    <definedName name="N5_KSumBvn">'0215'!$CE$14</definedName>
    <definedName name="N5_LastCoupDate">'0215'!$BZ$14</definedName>
    <definedName name="N5_MainTable">'0215'!$A$14:$CV$14</definedName>
    <definedName name="N5_MaxMrkt">'0215'!$BG$14</definedName>
    <definedName name="N5_MinMrkt">'0215'!$AU$14</definedName>
    <definedName name="N5_MrktB">'0215'!$BI$14</definedName>
    <definedName name="N5_MrktS">'0215'!$AW$14</definedName>
    <definedName name="N5_NDSComB">'0215'!$AK$14</definedName>
    <definedName name="N5_NDSComS">'0215'!$AJ$14</definedName>
    <definedName name="N5_NkdBprevRub">'0215'!$BQ$14</definedName>
    <definedName name="N5_NkdBrepRub">'0215'!$BR$14</definedName>
    <definedName name="N5_NkdBrub">'0215'!$AC$14</definedName>
    <definedName name="N5_NkdBsellRub">'0215'!$BS$14</definedName>
    <definedName name="N5_NkdBvp">'0215'!$AB$14</definedName>
    <definedName name="N5_NKDminusRub">'0215'!$P$14</definedName>
    <definedName name="N5_NkdPrevRub">'0215'!$BW$14</definedName>
    <definedName name="N5_NkdPrevVN">'0215'!$BV$14</definedName>
    <definedName name="N5_NkdRepRub">'0215'!$R$14</definedName>
    <definedName name="N5_NkdRepRubAll">'0215'!$CR$14</definedName>
    <definedName name="N5_NkdSrub">'0215'!$N$14</definedName>
    <definedName name="N5_NkdSvp">'0215'!$M$14</definedName>
    <definedName name="N5_Nom_DDB">'0215'!$AN$14</definedName>
    <definedName name="N5_Nom_DDS">'0215'!$AM$14</definedName>
    <definedName name="N5_PrBnom">'0215'!$Y$14</definedName>
    <definedName name="N5_PrSNom">'0215'!$J$14</definedName>
    <definedName name="N5_Qnty">'0215'!$G$14</definedName>
    <definedName name="N5_QuoteValueB">'0215'!$BK$14</definedName>
    <definedName name="N5_QuoteValueS">'0215'!$AY$14</definedName>
    <definedName name="N5_RashAll">'0215'!$AL$14</definedName>
    <definedName name="N5_RCB">'0215'!$BL$14</definedName>
    <definedName name="N5_RCS">'0215'!$AZ$14</definedName>
    <definedName name="N5_RFISSB">'0215'!$AP$14</definedName>
    <definedName name="N5_RFISSS">'0215'!$AO$14</definedName>
    <definedName name="N5_SecCode">'0215'!$B$14</definedName>
    <definedName name="N5_SecLax">'0215'!$CQ$14</definedName>
    <definedName name="N5_SecName">'0215'!$C$14</definedName>
    <definedName name="N5_SecType">'0215'!$CL$14</definedName>
    <definedName name="N5_SellType">'0215'!$AQ$14</definedName>
    <definedName name="N5_SumAllrub">'0215'!$O$14</definedName>
    <definedName name="N5_SumBNRub">'0215'!$AE$14</definedName>
    <definedName name="N5_SumBrub">'0215'!$AA$14</definedName>
    <definedName name="N5_SumBRub_AmortPrev">'0215'!$AG$14</definedName>
    <definedName name="N5_SumBvp">'0215'!$Z$14</definedName>
    <definedName name="N5_SumBvp_exps">'0215'!$CF$14</definedName>
    <definedName name="N5_SumBvpPrev_exps">'0215'!$CG$14</definedName>
    <definedName name="N5_SumSrub">'0215'!$L$14</definedName>
    <definedName name="N5_SumSvp">'0215'!$K$14</definedName>
    <definedName name="N5_TableHeader">'0215'!$A$1:$CV$13</definedName>
    <definedName name="N5_Taxe_All">'0215'!$CM$14</definedName>
    <definedName name="N5_Taxe_Amort">'0215'!$CN$14</definedName>
    <definedName name="N5_Taxe_NKD">'0215'!$CO$14</definedName>
    <definedName name="N5_Tprev">'0215'!$BU$14</definedName>
    <definedName name="N5_Val_MarketB">'0215'!$BH$14</definedName>
    <definedName name="N5_Val_MarketS">'0215'!$AV$14</definedName>
    <definedName name="N5_VN">'0215'!$H$14</definedName>
    <definedName name="N5_VPrB">'0215'!$X$14</definedName>
    <definedName name="N5_VPrS">'0215'!$I$14</definedName>
    <definedName name="N5_Операционист">'0215'!$D$10</definedName>
    <definedName name="N51_AmortVNrep">'0215_Свод'!$U$27</definedName>
    <definedName name="N51_ComS_ComB">'0215_Свод'!$H$27</definedName>
    <definedName name="N51_CoupVN_NkdSvp">'0215_Свод'!$V$27</definedName>
    <definedName name="N51_DifS">'0215_Свод'!$G$27</definedName>
    <definedName name="N51_DifSumBRub">'0215_Свод'!$F$27</definedName>
    <definedName name="N51_Fin_Res">'0215_Свод'!$E$27</definedName>
    <definedName name="N51_H0_11">'0215_Свод'!$D$19</definedName>
    <definedName name="N51_H0_7">'0215_Свод'!$B$16</definedName>
    <definedName name="N51_H0_8">'0215_Свод'!$B$17</definedName>
    <definedName name="N51_H0_9">'0215_Свод'!$D$18</definedName>
    <definedName name="N51_H0_A">'0215_Свод'!$A$7</definedName>
    <definedName name="N51_H0_B_INN">'0215_Свод'!$B$8</definedName>
    <definedName name="N51_H0_B_KPP">'0215_Свод'!$B$9</definedName>
    <definedName name="N51_ISIN">'0215_Свод'!$Y$27</definedName>
    <definedName name="N51_MainTable">'0215_Свод'!$A$27:$Y$27</definedName>
    <definedName name="N51_NkdBvp">'0215_Свод'!$T$27</definedName>
    <definedName name="N51_NKDminusRub">'0215_Свод'!$R$27</definedName>
    <definedName name="N51_NkdPrevRub">'0215_Свод'!$W$27</definedName>
    <definedName name="N51_NkdRepRub">'0215_Свод'!$Q$27</definedName>
    <definedName name="N51_NkdRepRubAll">'0215_Свод'!$X$27</definedName>
    <definedName name="N51_NkdSvp">'0215_Свод'!$S$27</definedName>
    <definedName name="N51_Qnty">'0215_Свод'!$L$27</definedName>
    <definedName name="N51_RashAll">'0215_Свод'!$N$27</definedName>
    <definedName name="N51_RegNum">'0215_Свод'!$A$27</definedName>
    <definedName name="N51_SecCode">'0215_Свод'!$C$27</definedName>
    <definedName name="N51_SecName">'0215_Свод'!$D$27</definedName>
    <definedName name="N51_SecType">'0215_Свод'!$B$27</definedName>
    <definedName name="N51_SumAllRub">'0215_Свод'!$M$27</definedName>
    <definedName name="N51_SumBvp_exps">'0215_Свод'!$P$27</definedName>
    <definedName name="N51_SumSvp">'0215_Свод'!$O$27</definedName>
    <definedName name="N51_TableHeader">'0215_Свод'!$A$1:$Y$26</definedName>
    <definedName name="N51_Taxe_All">'0215_Свод'!$I$27</definedName>
    <definedName name="N51_Taxe_Amort">'0215_Свод'!$J$27</definedName>
    <definedName name="N51_Taxe_NKD">'0215_Свод'!$K$27</definedName>
    <definedName name="N51_ДатаСоставления">'0215_Свод'!$C$1</definedName>
    <definedName name="N51_НомерОпера">'0215_Свод'!$C$2</definedName>
    <definedName name="N51_Операционист">'0215_Свод'!$D$2</definedName>
    <definedName name="N6_CodeB">'0216'!$AB$14</definedName>
    <definedName name="N6_CodeS">'0216'!$D$14</definedName>
    <definedName name="N6_ComB">'0216'!$AN$14</definedName>
    <definedName name="N6_ComS">'0216'!$Z$14</definedName>
    <definedName name="N6_ContB">'0216'!$AV$14</definedName>
    <definedName name="N6_ContS">'0216'!$AU$14</definedName>
    <definedName name="N6_CrBD">'0216'!$AR$14</definedName>
    <definedName name="N6_CrSD">'0216'!$AQ$14</definedName>
    <definedName name="N6_DAuс">'0216'!$J$14</definedName>
    <definedName name="N6_DDB">'0216'!$AD$14</definedName>
    <definedName name="N6_DDS">'0216'!$F$14</definedName>
    <definedName name="N6_Dexp">'0216'!$K$14</definedName>
    <definedName name="N6_DGO">'0216'!$BC$14</definedName>
    <definedName name="N6_DifB">'0216'!$AL$14</definedName>
    <definedName name="N6_DifS">'0216'!$Y$14</definedName>
    <definedName name="N6_DMrktB">'0216'!$AK$14</definedName>
    <definedName name="N6_DMrktS">'0216'!$X$14</definedName>
    <definedName name="N6_DqualB">'0216'!$AT$14</definedName>
    <definedName name="N6_DqualS">'0216'!$AS$14</definedName>
    <definedName name="N6_Dummy1">'0216'!$A$14</definedName>
    <definedName name="N6_DZB">'0216'!$AC$14</definedName>
    <definedName name="N6_DZS">'0216'!$E$14</definedName>
    <definedName name="N6_H0_13">'0216'!$I$1</definedName>
    <definedName name="N6_H0_AnRegistr">'0216'!$B$3</definedName>
    <definedName name="N6_H0_AnRegistrTxt">'0216'!$B$4</definedName>
    <definedName name="N6_H0_CodeNU_AP">'0216'!$AP$6</definedName>
    <definedName name="N6_H0_CodeNU_Q">'0216'!$Q$6</definedName>
    <definedName name="N6_H0_CodeNU_U">'0216'!$U$6</definedName>
    <definedName name="N6_H0_PeriodCode">'0216'!$E$1</definedName>
    <definedName name="N6_H0_PeriodTxt">'0216'!$C$5</definedName>
    <definedName name="N6_H0_Year">'0216'!$C$1</definedName>
    <definedName name="N6_ISIN">'0216'!$BB$14</definedName>
    <definedName name="N6_MainTable">'0216'!$A$14:$BC$14</definedName>
    <definedName name="N6_MaxMrkt">'0216'!$AI$14</definedName>
    <definedName name="N6_MinMrkt">'0216'!$V$14</definedName>
    <definedName name="N6_MrktB">'0216'!$AJ$14</definedName>
    <definedName name="N6_MrktS">'0216'!$W$14</definedName>
    <definedName name="N6_NDSComB">'0216'!$AO$14</definedName>
    <definedName name="N6_NDSComS">'0216'!$AA$14</definedName>
    <definedName name="N6_NkdBefRub">'0216'!$Q$14</definedName>
    <definedName name="N6_NkdBefVN">'0216'!$P$14</definedName>
    <definedName name="N6_NKDownRub">'0216'!$S$14</definedName>
    <definedName name="N6_NKDownVN">'0216'!$R$14</definedName>
    <definedName name="N6_NkdRepRub">'0216'!$T$14</definedName>
    <definedName name="N6_Nom">'0216'!$G$14</definedName>
    <definedName name="N6_PrBnom">'0216'!$AE$14</definedName>
    <definedName name="N6_PrSnom">'0216'!$M$14</definedName>
    <definedName name="N6_Qnty">'0216'!$L$14</definedName>
    <definedName name="N6_RashAll">'0216'!$AP$14</definedName>
    <definedName name="N6_SecCode">'0216'!$B$14</definedName>
    <definedName name="N6_SecLax">'0216'!$BA$14</definedName>
    <definedName name="N6_SecName">'0216'!$C$14</definedName>
    <definedName name="N6_SecType">'0216'!$AW$14</definedName>
    <definedName name="N6_SumAllrub">'0216'!$U$14</definedName>
    <definedName name="N6_SumBrub">'0216'!$AH$14</definedName>
    <definedName name="N6_SumBtax">'0216'!$AM$14</definedName>
    <definedName name="N6_SumBvp">'0216'!$AG$14</definedName>
    <definedName name="N6_SumSrub">'0216'!$O$14</definedName>
    <definedName name="N6_SumSvp">'0216'!$N$14</definedName>
    <definedName name="N6_TableHeader">'0216'!$A$1:$BC$13</definedName>
    <definedName name="N6_Taxe_All">'0216'!$AX$14</definedName>
    <definedName name="N6_Taxe_Amort">'0216'!$AY$14</definedName>
    <definedName name="N6_Taxe_NKD">'0216'!$AZ$14</definedName>
    <definedName name="N6_VN">'0216'!$H$14</definedName>
    <definedName name="N6_VPrB">'0216'!$AF$14</definedName>
    <definedName name="N6_VPrS">'0216'!$I$14</definedName>
    <definedName name="N6_Операционист">'0216'!$D$10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<sst xmlns="http://schemas.openxmlformats.org/spreadsheetml/2006/main" count="522" uniqueCount="522">
  <si>
    <t>Год</t>
  </si>
  <si>
    <t>&lt;год&gt;</t>
  </si>
  <si>
    <t xml:space="preserve">Период (код)</t>
  </si>
  <si>
    <t>&lt;код&gt;</t>
  </si>
  <si>
    <t>Корректировка</t>
  </si>
  <si>
    <t>0</t>
  </si>
  <si>
    <t xml:space="preserve">Регистр (код)</t>
  </si>
  <si>
    <t>&lt;H0_13&gt;</t>
  </si>
  <si>
    <t>КПП</t>
  </si>
  <si>
    <t>997950001</t>
  </si>
  <si>
    <t xml:space="preserve">ДУ (код)</t>
  </si>
  <si>
    <t>Банк</t>
  </si>
  <si>
    <t>Уровень</t>
  </si>
  <si>
    <t>1</t>
  </si>
  <si>
    <t xml:space="preserve">АО "Россельхозбанк"</t>
  </si>
  <si>
    <t xml:space="preserve">&lt;аналитический регистр&gt;</t>
  </si>
  <si>
    <t>&lt;registrtxt&gt;</t>
  </si>
  <si>
    <t>Период:</t>
  </si>
  <si>
    <t>&lt;ПЕРИОД&gt;</t>
  </si>
  <si>
    <t xml:space="preserve">Код НУ</t>
  </si>
  <si>
    <t xml:space="preserve">&lt;Code NU&gt;</t>
  </si>
  <si>
    <t xml:space="preserve">&lt;Code NU 2&gt;</t>
  </si>
  <si>
    <t>ИТОГО</t>
  </si>
  <si>
    <t xml:space="preserve"> </t>
  </si>
  <si>
    <t xml:space="preserve">ФОРМУЛЫ &gt;&gt;</t>
  </si>
  <si>
    <t>S</t>
  </si>
  <si>
    <t>F</t>
  </si>
  <si>
    <t>N</t>
  </si>
  <si>
    <t xml:space="preserve">Регистр подготовил</t>
  </si>
  <si>
    <t>&lt;Операционист&gt;</t>
  </si>
  <si>
    <t xml:space="preserve">Код бумаги</t>
  </si>
  <si>
    <t xml:space="preserve">Выпуск ценной бумаги</t>
  </si>
  <si>
    <t xml:space="preserve">Номер сделки реализации</t>
  </si>
  <si>
    <t xml:space="preserve">Дата заключения сделки на реализацию ЦБ</t>
  </si>
  <si>
    <t xml:space="preserve">Дата перехода права собств-ти при реализации ЦБ</t>
  </si>
  <si>
    <t xml:space="preserve">Количество бумаг, шт.</t>
  </si>
  <si>
    <t xml:space="preserve">Код валюты номинала</t>
  </si>
  <si>
    <t xml:space="preserve">Код валюты сделки реализации</t>
  </si>
  <si>
    <t xml:space="preserve">Цена реализации (на 1 бумагу)</t>
  </si>
  <si>
    <t xml:space="preserve">Стоимость реализации</t>
  </si>
  <si>
    <t xml:space="preserve">Сумма отклонения фактической выручки ниже рыночной (расчетной) цены, руб.</t>
  </si>
  <si>
    <t xml:space="preserve">Номер сделки приобретения</t>
  </si>
  <si>
    <t xml:space="preserve">Дата заключения сделки на приобретение ЦБ</t>
  </si>
  <si>
    <t xml:space="preserve">Дата перехода права собств-ти при приобретении ЦБ</t>
  </si>
  <si>
    <t xml:space="preserve">Код валюты сделки приобретения</t>
  </si>
  <si>
    <t xml:space="preserve">Цена приобретения (за 1 бумагу)</t>
  </si>
  <si>
    <t xml:space="preserve">Стоимость приобретения</t>
  </si>
  <si>
    <t xml:space="preserve">Сумма превышения стоимости приобретения над рыночной (расчетной) ценой, руб.</t>
  </si>
  <si>
    <t xml:space="preserve">Cтоимость приобретенных ценных бумаг, принимаемая для целей налогообложения, руб.</t>
  </si>
  <si>
    <t xml:space="preserve">Комиссия уплаченная, руб.</t>
  </si>
  <si>
    <t xml:space="preserve">НДС по комиссии, уплаченной, руб.</t>
  </si>
  <si>
    <t xml:space="preserve">Расходы, принимаемые для целей налогообложения в отчетном налоговом периоде, руб.</t>
  </si>
  <si>
    <t xml:space="preserve">Вид ПФИ</t>
  </si>
  <si>
    <t xml:space="preserve">Дата в учете</t>
  </si>
  <si>
    <t xml:space="preserve">Курс пересчета стоимости реализации в рублевый эквивалент </t>
  </si>
  <si>
    <t xml:space="preserve">Курс ЦБ РФ валюты сделки на дату заключения </t>
  </si>
  <si>
    <t xml:space="preserve">Курс ЦБ РФ валюты котировки на дату заключения </t>
  </si>
  <si>
    <t xml:space="preserve">Разница между датой поставки и датой платежа</t>
  </si>
  <si>
    <r>
      <t>Min</t>
    </r>
    <r>
      <rPr>
        <sz val="8"/>
        <rFont val="Arial Narrow"/>
      </rPr>
      <t xml:space="preserve"> цена на дату заключения сделки, сложивш. на ОРЦБ; расчетная цена для ЦБ, не обращ. на ОРЦБ</t>
    </r>
  </si>
  <si>
    <r>
      <t xml:space="preserve">Классификатор РЦ сделки 
</t>
    </r>
    <r>
      <rPr>
        <u val="single"/>
        <sz val="8"/>
        <rFont val="Arial Narrow"/>
      </rPr>
      <t/>
    </r>
  </si>
  <si>
    <t xml:space="preserve">Классификатор "Доп контроль" сделки 
</t>
  </si>
  <si>
    <t xml:space="preserve">Из гр. 22 прочие комиссии, руб.</t>
  </si>
  <si>
    <t xml:space="preserve">Курс пересчета стоимости приобретения в рублевый эквивалент </t>
  </si>
  <si>
    <r>
      <t>Max</t>
    </r>
    <r>
      <rPr>
        <sz val="8"/>
        <rFont val="Arial Narrow"/>
      </rPr>
      <t xml:space="preserve"> цена на дату заключения сделки, сложивш. на ОРЦБ; расчетная цена для ЦБ не обращ. на ОРЦБ (расч. цена ПФИ)</t>
    </r>
  </si>
  <si>
    <t xml:space="preserve">Из гр. 23 прочие комиссии, руб.</t>
  </si>
  <si>
    <t xml:space="preserve">Дата переквалификации сделки РЕПО / Займа</t>
  </si>
  <si>
    <t xml:space="preserve">Контрагент по сделке реализации </t>
  </si>
  <si>
    <t xml:space="preserve">Контрагент по сделке приобретения</t>
  </si>
  <si>
    <t xml:space="preserve">Налоговая  группа</t>
  </si>
  <si>
    <t xml:space="preserve">Прибыль (+)/ убыток (-) для целей налогообложения, руб. 
(гр.11+ гр.12- гр.24)
</t>
  </si>
  <si>
    <t xml:space="preserve">Фин. рез для выверки, руб. 
(гр.11- гр.19)</t>
  </si>
  <si>
    <t xml:space="preserve">Признак льготного налогообложения</t>
  </si>
  <si>
    <t xml:space="preserve">Код ISIN (номер государственной регистрации) ценной бумаги</t>
  </si>
  <si>
    <t xml:space="preserve">Портфель по сделке реализации</t>
  </si>
  <si>
    <t xml:space="preserve">Портфель по сделке приобретения</t>
  </si>
  <si>
    <t xml:space="preserve">Дата глобальной операции</t>
  </si>
  <si>
    <t xml:space="preserve">Сумма в валюте сделки</t>
  </si>
  <si>
    <t xml:space="preserve">Сумма, руб.</t>
  </si>
  <si>
    <t xml:space="preserve">при реализации</t>
  </si>
  <si>
    <t xml:space="preserve"> при приобретении</t>
  </si>
  <si>
    <t xml:space="preserve">по сделке реализации</t>
  </si>
  <si>
    <t xml:space="preserve">по сделке приобретения</t>
  </si>
  <si>
    <t xml:space="preserve">Цена (котировка с учетом К)</t>
  </si>
  <si>
    <t xml:space="preserve">Ед. изм.</t>
  </si>
  <si>
    <t xml:space="preserve">Источник информации </t>
  </si>
  <si>
    <t xml:space="preserve">Дата котировки</t>
  </si>
  <si>
    <t xml:space="preserve">Котировка (РЦ)</t>
  </si>
  <si>
    <t>Код</t>
  </si>
  <si>
    <t xml:space="preserve">Комментарий </t>
  </si>
  <si>
    <t xml:space="preserve">для сделки реализации</t>
  </si>
  <si>
    <t xml:space="preserve">для сделки приобретения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</si>
  <si>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</si>
  <si>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</si>
  <si>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</si>
  <si>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</si>
  <si>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</si>
  <si>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</si>
  <si>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</si>
  <si>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</si>
  <si>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</si>
  <si>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</si>
  <si>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</si>
  <si>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</si>
  <si>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</si>
  <si>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</si>
  <si>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</si>
  <si>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</si>
  <si>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</si>
  <si>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</si>
  <si>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</si>
  <si>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</si>
  <si>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</si>
  <si>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</si>
  <si>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</si>
  <si>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</si>
  <si>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</si>
  <si>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</si>
  <si>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</si>
  <si>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</si>
  <si>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Т1</t>
  </si>
  <si>
    <t>Т2</t>
  </si>
  <si>
    <t>Т3</t>
  </si>
  <si>
    <t>Т4</t>
  </si>
  <si>
    <t>Т5</t>
  </si>
  <si>
    <t>Т6</t>
  </si>
  <si>
    <t>V1</t>
  </si>
  <si>
    <t>V2</t>
  </si>
  <si>
    <t>R1</t>
  </si>
  <si>
    <t>M1</t>
  </si>
  <si>
    <t>M2</t>
  </si>
  <si>
    <t>T7</t>
  </si>
  <si>
    <t>&lt;SecCode&gt;</t>
  </si>
  <si>
    <t>&lt;SecName&gt;</t>
  </si>
  <si>
    <t>&lt;CodeS&gt;</t>
  </si>
  <si>
    <t>&lt;DZS&gt;</t>
  </si>
  <si>
    <t>&lt;DDS&gt;</t>
  </si>
  <si>
    <t>&lt;Qnty&gt;</t>
  </si>
  <si>
    <t>&lt;VN&gt;</t>
  </si>
  <si>
    <t>&lt;VPrS&gt;</t>
  </si>
  <si>
    <t>&lt;PrSvp&gt;</t>
  </si>
  <si>
    <t>&lt;SumSvp&gt;</t>
  </si>
  <si>
    <t>&lt;SumSrub&gt;</t>
  </si>
  <si>
    <t>&lt;DifS&gt;</t>
  </si>
  <si>
    <t>&lt;CodeB&gt;</t>
  </si>
  <si>
    <t>&lt;DZB&gt;</t>
  </si>
  <si>
    <t>&lt;DDB&gt;</t>
  </si>
  <si>
    <t>&lt;VPrB&gt;</t>
  </si>
  <si>
    <t>&lt;PrBvp&gt;</t>
  </si>
  <si>
    <t>&lt;SumBvp&gt;</t>
  </si>
  <si>
    <t>&lt;SumBrub&gt;</t>
  </si>
  <si>
    <t>&lt;DifB&gt;</t>
  </si>
  <si>
    <t>&lt;SumBtax&gt;</t>
  </si>
  <si>
    <t>&lt;ComS&gt;</t>
  </si>
  <si>
    <t>&lt;ComB&gt;</t>
  </si>
  <si>
    <t>&lt;NDSComS&gt;</t>
  </si>
  <si>
    <t>&lt;NDSComB&gt;</t>
  </si>
  <si>
    <t xml:space="preserve">&lt; RashAll &gt;</t>
  </si>
  <si>
    <t> &lt;RFISSS&gt;</t>
  </si>
  <si>
    <t> &lt;RFISSB&gt;</t>
  </si>
  <si>
    <t>   &lt;DRS&gt;</t>
  </si>
  <si>
    <t>&lt;CrSD&gt;</t>
  </si>
  <si>
    <t>&lt;CrSZ&gt;</t>
  </si>
  <si>
    <t>&lt;Cr_Val_MrkSZ&gt;</t>
  </si>
  <si>
    <t>&lt;DPS-DDS&gt;</t>
  </si>
  <si>
    <t>&lt;MinMrkt&gt;</t>
  </si>
  <si>
    <t xml:space="preserve">&lt;Val_MarketS&gt; </t>
  </si>
  <si>
    <t>&lt;MrktS&gt;</t>
  </si>
  <si>
    <t>&lt;DMrktS&gt;</t>
  </si>
  <si>
    <t>&lt;QuoteValueS&gt;</t>
  </si>
  <si>
    <t> &lt;RCS&gt;</t>
  </si>
  <si>
    <t>&lt;K_ControlS&gt;</t>
  </si>
  <si>
    <t>&lt;Control_CommentS&gt;</t>
  </si>
  <si>
    <r>
      <t>  </t>
    </r>
    <r>
      <rPr>
        <sz val="8"/>
        <rFont val="Arial Narrow"/>
      </rPr>
      <t>&lt;ComS_Another&gt;</t>
    </r>
  </si>
  <si>
    <t>   &lt;DRB&gt;</t>
  </si>
  <si>
    <t>&lt;CrBD&gt;</t>
  </si>
  <si>
    <t>&lt;CrBZ&gt;</t>
  </si>
  <si>
    <t>&lt;Cr_Val_MrkBZ&gt;</t>
  </si>
  <si>
    <t>&lt;DPB-DDB&gt;</t>
  </si>
  <si>
    <t>&lt;MaxMrkt&gt;</t>
  </si>
  <si>
    <t xml:space="preserve">&lt;Val_MarketB&gt; </t>
  </si>
  <si>
    <t>&lt;MrktB&gt;</t>
  </si>
  <si>
    <t>&lt;DMrktB&gt;</t>
  </si>
  <si>
    <t>&lt;QuoteValueB&gt;</t>
  </si>
  <si>
    <t> &lt;RCB&gt;</t>
  </si>
  <si>
    <t>&lt;K_ControlB&gt;</t>
  </si>
  <si>
    <t>&lt;Control_CommentB&gt;</t>
  </si>
  <si>
    <r>
      <t>  </t>
    </r>
    <r>
      <rPr>
        <sz val="8"/>
        <rFont val="Arial Narrow"/>
      </rPr>
      <t>&lt;ComB_Another&gt;</t>
    </r>
  </si>
  <si>
    <t>&lt;DqualS&gt;</t>
  </si>
  <si>
    <t>&lt;DqualB&gt;</t>
  </si>
  <si>
    <t>&lt;ContS&gt;</t>
  </si>
  <si>
    <t>&lt;ContB&gt;</t>
  </si>
  <si>
    <t>&lt;SecType&gt;</t>
  </si>
  <si>
    <t>&lt;Taxe_All&gt;</t>
  </si>
  <si>
    <t>&lt;Fin_Res&gt;</t>
  </si>
  <si>
    <t>&lt;SecLax&gt;</t>
  </si>
  <si>
    <t>&lt;ISIN&gt;</t>
  </si>
  <si>
    <t>&lt;APS&gt;</t>
  </si>
  <si>
    <t>&lt;APB&gt;</t>
  </si>
  <si>
    <t>&lt;DGO&gt;</t>
  </si>
  <si>
    <t>Составлено:</t>
  </si>
  <si>
    <t>&lt;ДатаСоставления&gt;</t>
  </si>
  <si>
    <t>Исполнитель:</t>
  </si>
  <si>
    <t>&lt;НомерОпера&gt;</t>
  </si>
  <si>
    <t>&lt;N11_Операционист&gt;</t>
  </si>
  <si>
    <t>&lt;H0_A&gt;</t>
  </si>
  <si>
    <t>ИНН</t>
  </si>
  <si>
    <t>&lt;H0_B_INN&gt;</t>
  </si>
  <si>
    <t>&lt;H0_B_KPP&gt;</t>
  </si>
  <si>
    <t xml:space="preserve">Аналитический регистр налогового учета:</t>
  </si>
  <si>
    <t xml:space="preserve">Реализация акций, паев и депозитарных расписок</t>
  </si>
  <si>
    <t>с</t>
  </si>
  <si>
    <t>&lt;H0_7&gt;</t>
  </si>
  <si>
    <t>по</t>
  </si>
  <si>
    <t>&lt;H0_8&gt;</t>
  </si>
  <si>
    <t xml:space="preserve">Группа налогового учета:</t>
  </si>
  <si>
    <t>&lt;H0_9&gt;</t>
  </si>
  <si>
    <t xml:space="preserve">Выпуск ценных бумаг:</t>
  </si>
  <si>
    <t>&lt;H0_11&gt;</t>
  </si>
  <si>
    <t xml:space="preserve">Номер АРНУ</t>
  </si>
  <si>
    <t xml:space="preserve">Код ценной бумаги</t>
  </si>
  <si>
    <t xml:space="preserve">Финансовый результат от операций с ценными бумагами 
(без учета корректировки цен в соответствии со ст. 280 НК РФ), руб. </t>
  </si>
  <si>
    <t xml:space="preserve">Корректировка (уменьшение) стоимости приобретения в соответствии со ст. 280 НК РФ, руб.</t>
  </si>
  <si>
    <t xml:space="preserve">Корректировка (увеличение) стоимости реализации в соответствии со ст. 280 НК РФ, руб.</t>
  </si>
  <si>
    <t xml:space="preserve">Комиссии по операциям с ценными бумагами</t>
  </si>
  <si>
    <t xml:space="preserve">Прибыль (+)/ убыток (-) для целей налогообложения, руб.</t>
  </si>
  <si>
    <t xml:space="preserve">Выручка от реализации  для целей налогообложения, руб.</t>
  </si>
  <si>
    <t xml:space="preserve">Расходы, принимаемые для целей налогообложения в отчетном (налоговом) периоде, руб.</t>
  </si>
  <si>
    <r>
      <t xml:space="preserve">Стоимость реализации  в </t>
    </r>
    <r>
      <rPr>
        <u val="single"/>
        <sz val="8"/>
        <rFont val="Arial"/>
      </rPr>
      <t xml:space="preserve">валюте сделки</t>
    </r>
  </si>
  <si>
    <r>
      <t xml:space="preserve">Стоимость приобретения в </t>
    </r>
    <r>
      <rPr>
        <u val="single"/>
        <sz val="8"/>
        <rFont val="Arial"/>
      </rPr>
      <t xml:space="preserve">валюте сделки</t>
    </r>
  </si>
  <si>
    <t xml:space="preserve">Всего 
</t>
  </si>
  <si>
    <t xml:space="preserve">от реализации </t>
  </si>
  <si>
    <t xml:space="preserve">гр. V1</t>
  </si>
  <si>
    <t>гр.20</t>
  </si>
  <si>
    <t>гр.12</t>
  </si>
  <si>
    <t>гр.22+гр.23</t>
  </si>
  <si>
    <t>гр.Т6</t>
  </si>
  <si>
    <t>гр.6</t>
  </si>
  <si>
    <t>гр.11</t>
  </si>
  <si>
    <t>гр.24</t>
  </si>
  <si>
    <t>гр.10</t>
  </si>
  <si>
    <t>гр.18</t>
  </si>
  <si>
    <t>a</t>
  </si>
  <si>
    <t>b</t>
  </si>
  <si>
    <t>c</t>
  </si>
  <si>
    <t>d</t>
  </si>
  <si>
    <t>&lt;RegNum&gt;</t>
  </si>
  <si>
    <t>&lt;ComS&gt;+&lt;ComB&gt;</t>
  </si>
  <si>
    <t>&lt;RashAll&gt;</t>
  </si>
  <si>
    <t xml:space="preserve">Форма №</t>
  </si>
  <si>
    <t>&lt;H0_3&gt;</t>
  </si>
  <si>
    <t xml:space="preserve">Реализация (погашение) купонных облигаций, номинал которых выражен в валюте РФ</t>
  </si>
  <si>
    <t xml:space="preserve">Номер сделки реализации (погашения)</t>
  </si>
  <si>
    <t xml:space="preserve">Дата заключения сделки на реализацию (дата погашения) ЦБ</t>
  </si>
  <si>
    <t xml:space="preserve">Дата перехода права собств-ти при реализации (дата погашения) ЦБ</t>
  </si>
  <si>
    <t xml:space="preserve">Цена реализации, % от номинала</t>
  </si>
  <si>
    <t xml:space="preserve">Стоимость реализации (погашения), руб.</t>
  </si>
  <si>
    <t xml:space="preserve">НКД полученный при реализации (погашении), руб.</t>
  </si>
  <si>
    <t xml:space="preserve">Выручка от реализации (погашения) для целей налогообложения, руб.</t>
  </si>
  <si>
    <t xml:space="preserve">Процентный доход, начисленный за отчетный (налоговый) период, руб.</t>
  </si>
  <si>
    <t xml:space="preserve">Доходы, выплаченные эмитентом при частичном погашении номинала, учитываемые в отчетном (налоговом) периоде, руб. </t>
  </si>
  <si>
    <t xml:space="preserve">Цена приобретения, в % от номинала</t>
  </si>
  <si>
    <t xml:space="preserve">Стоимость приобретения, руб.</t>
  </si>
  <si>
    <t xml:space="preserve">НКД уплаченный при приобретении, руб.</t>
  </si>
  <si>
    <t xml:space="preserve">Учтено в текущем отчетном (налоговом) периоде, руб.</t>
  </si>
  <si>
    <t xml:space="preserve">Учтено в предыдущих налоговых периодах при частичном погашении номинала, руб.</t>
  </si>
  <si>
    <t xml:space="preserve">Номинал на дату реализации ценной бумаги</t>
  </si>
  <si>
    <t xml:space="preserve">Номинал на дату приобретения ценной бумаги</t>
  </si>
  <si>
    <t xml:space="preserve">Погашение - 1, реализация  -0</t>
  </si>
  <si>
    <t xml:space="preserve">Курс пересчета стоимости реализации в рублевый эквивалент</t>
  </si>
  <si>
    <t xml:space="preserve">Стоимость реализации (погашения) в валюте сделки, руб.  </t>
  </si>
  <si>
    <t xml:space="preserve">Стоимость приобретения в валюте сделки, руб.  </t>
  </si>
  <si>
    <t xml:space="preserve">Из гр. 24 прочие комиссии, руб.</t>
  </si>
  <si>
    <t xml:space="preserve">НКД, уплаченный при приобретении, уменьшающий, руб.</t>
  </si>
  <si>
    <t xml:space="preserve">Отметка о наличии выплат купона от эмитента до начала налогового периода (1 - да, 0 - нет)</t>
  </si>
  <si>
    <t xml:space="preserve">Процентный доход, учтенный для целей налогообложения в предыдущем налоговом периоде, но не полученный от эмитента на начало отчетного (налогового) периода</t>
  </si>
  <si>
    <t xml:space="preserve">Купонный доход, полученный от эмитента при погашении купонов в отчетном (налоговом) периоде (кроме купона, полученного при погашении бумаги), руб.</t>
  </si>
  <si>
    <t xml:space="preserve">Дата выплаты по последнему купону в отчетном периоде</t>
  </si>
  <si>
    <t xml:space="preserve">Контроль процентного дохода</t>
  </si>
  <si>
    <t xml:space="preserve">Доходы, выплаченные эмитентом при частичном погашении номинала, 
в валюте номинала</t>
  </si>
  <si>
    <t xml:space="preserve">Коэф-т погашения номинала (за период до начала текущего отчетного (налогового) периода)</t>
  </si>
  <si>
    <r>
      <t xml:space="preserve">Стоимость приобретения, признанная расходами </t>
    </r>
    <r>
      <rPr>
        <u val="single"/>
        <sz val="8"/>
        <rFont val="Arial Narrow"/>
      </rPr>
      <t xml:space="preserve">в отчетном (налоговом) периоде</t>
    </r>
    <r>
      <rPr>
        <sz val="8"/>
        <rFont val="Arial Narrow"/>
      </rPr>
      <t xml:space="preserve"> (до оценки "на рыночность"), 
</t>
    </r>
    <r>
      <rPr>
        <u val="single"/>
        <sz val="8"/>
        <rFont val="Arial Narrow"/>
      </rPr>
      <t xml:space="preserve">в валюте сделки</t>
    </r>
  </si>
  <si>
    <t xml:space="preserve">Фин. рез для выверки, руб. 
(гр.10- гр.11+ гр.13- гр.25+ гр.21+ гр.23+ гр.24)</t>
  </si>
  <si>
    <t xml:space="preserve">Признак льготного  налогообложения</t>
  </si>
  <si>
    <t xml:space="preserve">Накопленный купонный доход за отчетный период, руб.</t>
  </si>
  <si>
    <t xml:space="preserve">Индексируемый номинал</t>
  </si>
  <si>
    <t>Всего</t>
  </si>
  <si>
    <t xml:space="preserve">в том числе: суммы % дохода, учтенные при налогообложении до начала текущего отчетного (налогового) периода</t>
  </si>
  <si>
    <t xml:space="preserve">Льготная ставка</t>
  </si>
  <si>
    <t xml:space="preserve">Общая ставка</t>
  </si>
  <si>
    <t xml:space="preserve">Сумма превышения стоимости приобретения над рыночной (расчетной) ценой</t>
  </si>
  <si>
    <t xml:space="preserve">Cтоимость приобретенных ценных бумаг, принимаемая для целей налогообложения</t>
  </si>
  <si>
    <t xml:space="preserve">при приобретении (с учетом ч/п при V17=да)</t>
  </si>
  <si>
    <t xml:space="preserve"> процентные доходы прошлых налоговых периодов</t>
  </si>
  <si>
    <t xml:space="preserve"> процентные доходы текущего налогового периода</t>
  </si>
  <si>
    <t xml:space="preserve">доходы от реализации (погашения)</t>
  </si>
  <si>
    <t xml:space="preserve">Период, дней</t>
  </si>
  <si>
    <t xml:space="preserve">до 01.01.2015г.</t>
  </si>
  <si>
    <t xml:space="preserve">с 01.01.2015 -  всего</t>
  </si>
  <si>
    <t xml:space="preserve">За отчетный (налоговый) период</t>
  </si>
  <si>
    <t xml:space="preserve">Всего 
(гр.Т7+ гр.Т8)</t>
  </si>
  <si>
    <t xml:space="preserve">от реализации (погашения)
(гр.10+ гр.12- гр.25)
</t>
  </si>
  <si>
    <t xml:space="preserve">сальдо процентных доходов и расходов (гр.13 - гр.11) </t>
  </si>
  <si>
    <t xml:space="preserve">На дату приобретения /дату начала отчетного периода</t>
  </si>
  <si>
    <t xml:space="preserve">На дату реализации </t>
  </si>
  <si>
    <t xml:space="preserve">Положительная разница (Т10-Т9)</t>
  </si>
  <si>
    <t xml:space="preserve">Отрицательная разница (Т10-Т9)</t>
  </si>
  <si>
    <t xml:space="preserve">До отчетного периода</t>
  </si>
  <si>
    <t>13.1</t>
  </si>
  <si>
    <t>13.2</t>
  </si>
  <si>
    <t>22.1</t>
  </si>
  <si>
    <t>22.2</t>
  </si>
  <si>
    <t>S0</t>
  </si>
  <si>
    <t>К1</t>
  </si>
  <si>
    <t>К2</t>
  </si>
  <si>
    <t>К3</t>
  </si>
  <si>
    <t>К4</t>
  </si>
  <si>
    <t>К5</t>
  </si>
  <si>
    <t>К6</t>
  </si>
  <si>
    <t>К7</t>
  </si>
  <si>
    <t>К8</t>
  </si>
  <si>
    <t>К9</t>
  </si>
  <si>
    <t>А1</t>
  </si>
  <si>
    <t>А2</t>
  </si>
  <si>
    <t>А3</t>
  </si>
  <si>
    <t>А4</t>
  </si>
  <si>
    <t>А5</t>
  </si>
  <si>
    <t>А6</t>
  </si>
  <si>
    <t>Т7</t>
  </si>
  <si>
    <t>Т8</t>
  </si>
  <si>
    <t>V3</t>
  </si>
  <si>
    <t>Т9</t>
  </si>
  <si>
    <t>Т10</t>
  </si>
  <si>
    <t>Т11</t>
  </si>
  <si>
    <t>Т12</t>
  </si>
  <si>
    <t>Т13</t>
  </si>
  <si>
    <t>T14</t>
  </si>
  <si>
    <t>&lt;PrSNom&gt;</t>
  </si>
  <si>
    <t>&lt;NkdSvp&gt;</t>
  </si>
  <si>
    <t>&lt;SumAllrub&gt;</t>
  </si>
  <si>
    <t>&lt;NKDminusRub&gt;</t>
  </si>
  <si>
    <t>&lt;NkdRepRub&gt;</t>
  </si>
  <si>
    <t>&lt;NkdRepRub1&gt;</t>
  </si>
  <si>
    <t>&lt;NkdRepRub2&gt;</t>
  </si>
  <si>
    <t>&lt;AmortVNrep&gt;</t>
  </si>
  <si>
    <t xml:space="preserve">&lt;CodeB&gt; </t>
  </si>
  <si>
    <t xml:space="preserve">&lt;DDB&gt; </t>
  </si>
  <si>
    <t xml:space="preserve">&lt;PrBnom&gt; </t>
  </si>
  <si>
    <t>&lt;NkdBvp&gt;</t>
  </si>
  <si>
    <t>&lt;DifSumBRub&gt;</t>
  </si>
  <si>
    <t>&lt;SumBNRub&gt;</t>
  </si>
  <si>
    <t>&lt;DifSumBRub_AmortPrev&gt;</t>
  </si>
  <si>
    <t>&lt;SumBRub_AmortPrev&gt;</t>
  </si>
  <si>
    <t xml:space="preserve"> &lt;Nom_ DDS&gt;</t>
  </si>
  <si>
    <t xml:space="preserve"> &lt;Nom_ DDB&gt;</t>
  </si>
  <si>
    <t>&lt;SellType&gt;</t>
  </si>
  <si>
    <t> &lt;DRS&gt;</t>
  </si>
  <si>
    <t>&lt;Val_MarketS&gt;</t>
  </si>
  <si>
    <t>&lt;ComS_Another&gt;</t>
  </si>
  <si>
    <t>&lt;DRB&gt;</t>
  </si>
  <si>
    <t>&lt;Val_MarketB&gt;</t>
  </si>
  <si>
    <t>&lt;RCB&gt;</t>
  </si>
  <si>
    <t>&lt;ComB_Another&gt;</t>
  </si>
  <si>
    <t>&lt;NkdBprevRub&gt;</t>
  </si>
  <si>
    <t>&lt;NkdBrepRub&gt;</t>
  </si>
  <si>
    <t>&lt;NkdBsellRub&gt;</t>
  </si>
  <si>
    <t>&lt;ifCoupPrev&gt;</t>
  </si>
  <si>
    <t>&lt;Tprev&gt;</t>
  </si>
  <si>
    <t>&lt;NkdPrevVN&gt;</t>
  </si>
  <si>
    <t>&lt;CoupVN&gt;</t>
  </si>
  <si>
    <t>&lt;LastCoupDate&gt;</t>
  </si>
  <si>
    <t>&lt;ControlNKD&gt;</t>
  </si>
  <si>
    <t>&lt;AmortVN&gt;</t>
  </si>
  <si>
    <t>&lt;AmortVN_before&gt;</t>
  </si>
  <si>
    <t>&lt;AmortVN_after&gt;</t>
  </si>
  <si>
    <t>&lt;AmortVNPer&gt;</t>
  </si>
  <si>
    <t>&lt;KSumBvn&gt;</t>
  </si>
  <si>
    <t>&lt;SumBvp_exps&gt;</t>
  </si>
  <si>
    <t>&lt;Taxe_Amort&gt;</t>
  </si>
  <si>
    <t>&lt;Taxe_NKD&gt;</t>
  </si>
  <si>
    <t>&lt;NkdRepRubAll&gt;</t>
  </si>
  <si>
    <t>&lt;Nom_H01&gt;</t>
  </si>
  <si>
    <t>&lt;Nom_H02&gt;</t>
  </si>
  <si>
    <t>&lt;PlusNom_IN&gt;</t>
  </si>
  <si>
    <t>&lt;MinusNom_IN&gt;</t>
  </si>
  <si>
    <t>&lt;Nom_IN_Before&gt;</t>
  </si>
  <si>
    <t>Примечание:</t>
  </si>
  <si>
    <t xml:space="preserve">Регистр формируется в головном офисе в целом по Банку</t>
  </si>
  <si>
    <t>&lt;ДолжностьРуководителяПодразделения&gt;</t>
  </si>
  <si>
    <t>&lt;РуководительПодразделения&gt;</t>
  </si>
  <si>
    <t>(подпись)</t>
  </si>
  <si>
    <t>Ф.И.О.</t>
  </si>
  <si>
    <t>&lt;ДолжностьОперациониста&gt;</t>
  </si>
  <si>
    <r>
      <t xml:space="preserve">Стоимость реализации (погашения) в </t>
    </r>
    <r>
      <rPr>
        <u val="single"/>
        <sz val="8"/>
        <rFont val="Arial"/>
      </rPr>
      <t xml:space="preserve">валюте сделки</t>
    </r>
  </si>
  <si>
    <t xml:space="preserve">Стоимость приобретения, признанная расходами в отчетном (налоговом) периоде (до оценки "на рыночность"), 
в валюте сделки</t>
  </si>
  <si>
    <t xml:space="preserve">Суммы % дохода, учтенные при налогообложении до начала текущего отчетного (налогового) периода, руб.</t>
  </si>
  <si>
    <r>
      <t xml:space="preserve">НКД полученный при реализации (погашении), в </t>
    </r>
    <r>
      <rPr>
        <u val="single"/>
        <sz val="8"/>
        <rFont val="Arial"/>
      </rPr>
      <t xml:space="preserve">валюте сделки</t>
    </r>
  </si>
  <si>
    <r>
      <t xml:space="preserve">НКД уплаченный при приобретении, в </t>
    </r>
    <r>
      <rPr>
        <u val="single"/>
        <sz val="8"/>
        <rFont val="Arial"/>
      </rPr>
      <t xml:space="preserve">валюте сделки</t>
    </r>
  </si>
  <si>
    <r>
      <t xml:space="preserve">Доходы, выплаченные эмитентом при частичном погашении номинала, учитываемые в отчетном (налоговом периоде),  
</t>
    </r>
    <r>
      <rPr>
        <i/>
        <u val="single"/>
        <sz val="8"/>
        <rFont val="Arial"/>
      </rPr>
      <t xml:space="preserve">в валюте номинала</t>
    </r>
    <r>
      <rPr>
        <u val="single"/>
        <sz val="8"/>
        <rFont val="Arial"/>
      </rPr>
      <t xml:space="preserve">
</t>
    </r>
  </si>
  <si>
    <r>
      <t xml:space="preserve">Купонный доход, полученный от эмитента при погашении купонов в отчетном периоде, 
</t>
    </r>
    <r>
      <rPr>
        <i/>
        <u val="single"/>
        <sz val="8"/>
        <rFont val="Arial"/>
      </rPr>
      <t xml:space="preserve">в валюте номинала (без учета процентного дохода с кодом "2")</t>
    </r>
  </si>
  <si>
    <r>
      <t xml:space="preserve">Суммы % дохода, учтенные при налогообложении до начала  отчетного периода, 
</t>
    </r>
    <r>
      <rPr>
        <i/>
        <u val="single"/>
        <sz val="8"/>
        <rFont val="Arial"/>
      </rPr>
      <t xml:space="preserve">в валюте номинала</t>
    </r>
  </si>
  <si>
    <t xml:space="preserve">от реализации (в т.ч. частич. погашения номинала)
</t>
  </si>
  <si>
    <t xml:space="preserve">внереализационные (процентные) доходы/ расходы</t>
  </si>
  <si>
    <t>гр.21</t>
  </si>
  <si>
    <t>гр.23+гр.24</t>
  </si>
  <si>
    <t>гр.Т7</t>
  </si>
  <si>
    <t>гр.Т8</t>
  </si>
  <si>
    <t>гр.25</t>
  </si>
  <si>
    <t>гр.S3</t>
  </si>
  <si>
    <t>гр.А6</t>
  </si>
  <si>
    <t>гр.13.1</t>
  </si>
  <si>
    <t>гр.13.2</t>
  </si>
  <si>
    <t>гр.9</t>
  </si>
  <si>
    <t>гр.14</t>
  </si>
  <si>
    <r>
      <rPr>
        <b/>
        <sz val="8"/>
        <color indexed="2"/>
        <rFont val="Arial"/>
      </rPr>
      <t xml:space="preserve">сумма по гр.К7 без учета дополнительного процентного дохода с кодом "2" </t>
    </r>
    <r>
      <rPr>
        <b/>
        <sz val="8"/>
        <color indexed="30"/>
        <rFont val="Arial"/>
      </rPr>
      <t xml:space="preserve">+ часть гр. 9 с учетом</t>
    </r>
    <r>
      <rPr>
        <b/>
        <sz val="8"/>
        <color indexed="2"/>
        <rFont val="Arial"/>
      </rPr>
      <t xml:space="preserve"> </t>
    </r>
    <r>
      <rPr>
        <b/>
        <sz val="8"/>
        <color indexed="30"/>
        <rFont val="Arial"/>
      </rPr>
      <t>гр.S0</t>
    </r>
  </si>
  <si>
    <t>гр.К6</t>
  </si>
  <si>
    <t>&lt;SumAllRub&gt;</t>
  </si>
  <si>
    <t xml:space="preserve">&lt;CoupVN&gt; + &lt;NkdSvp&gt;</t>
  </si>
  <si>
    <t>&lt;H0_Year&gt;</t>
  </si>
  <si>
    <t>&lt;H0_PeriodCode&gt;</t>
  </si>
  <si>
    <t>&lt;H0_AnRegistr&gt;</t>
  </si>
  <si>
    <t>&lt;H0_AnRegistrTxt&gt;</t>
  </si>
  <si>
    <t>&lt;H0_PeriodTxt&gt;</t>
  </si>
  <si>
    <t>&lt;H0_CodeNU_N&gt;</t>
  </si>
  <si>
    <t>&lt;H0_CodeNU_Q&gt;</t>
  </si>
  <si>
    <t>&lt;H0_CodeNU_AJ&gt;</t>
  </si>
  <si>
    <t xml:space="preserve">Дата заключения сделки реализации  (дата погашения) ЦБ</t>
  </si>
  <si>
    <t xml:space="preserve">Номинал, руб.</t>
  </si>
  <si>
    <t xml:space="preserve">Дата размещения</t>
  </si>
  <si>
    <t xml:space="preserve">Дата погашения</t>
  </si>
  <si>
    <t xml:space="preserve">Средневзвешенная цена размещения, % от номинала</t>
  </si>
  <si>
    <t xml:space="preserve">Процентный доход за период с даты приобретения до даты начала отчетного периода, руб.</t>
  </si>
  <si>
    <t xml:space="preserve">Процентный доход за период с даты приобретения по дату реализации, руб.</t>
  </si>
  <si>
    <t xml:space="preserve">Min цена на дату заключения сделки, сложивш. на ОРЦБ; расчетная цена для ЦБ, не обращ. на ОРЦБ</t>
  </si>
  <si>
    <t xml:space="preserve">Комиссия, уплаченная при реализации, руб.</t>
  </si>
  <si>
    <t xml:space="preserve">НДС по комиссии, уплаченной при реализации, руб</t>
  </si>
  <si>
    <t xml:space="preserve">Дата заключения сделки приобретения ЦБ</t>
  </si>
  <si>
    <t xml:space="preserve">Max цена на дату заключения сделки, сложивш. на ОРЦБ; расчетная цена для ЦБ не обращ. на ОРЦБ (расч. цена ПФИ)</t>
  </si>
  <si>
    <t xml:space="preserve">Комиссия, уплаченная при приобретении, руб.</t>
  </si>
  <si>
    <t xml:space="preserve">НДС по комиссии, уплаченной при приобретении, руб.</t>
  </si>
  <si>
    <t xml:space="preserve">Цена, в % от номинала</t>
  </si>
  <si>
    <t xml:space="preserve">Источник информации  </t>
  </si>
  <si>
    <t xml:space="preserve">от реализации (погашения)
(гр.16+ гр.20- гр.33)
</t>
  </si>
  <si>
    <t xml:space="preserve">сальдо процентных доходов и расходов (гр.15) </t>
  </si>
  <si>
    <t>T1</t>
  </si>
  <si>
    <t>T9</t>
  </si>
  <si>
    <t>&lt;Nom&gt;</t>
  </si>
  <si>
    <t>&lt;DAuс&gt;</t>
  </si>
  <si>
    <t>&lt;Dexp&gt;</t>
  </si>
  <si>
    <t>&lt;PrAucNom&gt;</t>
  </si>
  <si>
    <t>&lt;NkdBefVN&gt;</t>
  </si>
  <si>
    <t>&lt;NKDownVN&gt; </t>
  </si>
  <si>
    <t> &lt;NkdRepRub&gt;</t>
  </si>
  <si>
    <t>&lt;PrBnom&gt;</t>
  </si>
  <si>
    <t>&lt;CodeNU_N&gt;</t>
  </si>
  <si>
    <t>&lt;CodeNU_O&gt;</t>
  </si>
  <si>
    <t>&lt;CodeNU_AL&gt;</t>
  </si>
  <si>
    <t>&lt;CodeNU_BR&gt;</t>
  </si>
  <si>
    <t>&lt;CodeNU_BW&gt;</t>
  </si>
  <si>
    <t>&lt;CodeNU_BY&gt;</t>
  </si>
  <si>
    <t xml:space="preserve">Стоимость реализации (погашения)</t>
  </si>
  <si>
    <t xml:space="preserve">НКД полученный при реализации (погашении)</t>
  </si>
  <si>
    <r>
      <t xml:space="preserve">Доходы, выплаченные эмитентом при частичном погашении номинала, учитываемые в отчетном (налоговом периоде)</t>
    </r>
    <r>
      <rPr>
        <sz val="8"/>
        <rFont val="Arial Narrow"/>
      </rPr>
      <t xml:space="preserve">
</t>
    </r>
  </si>
  <si>
    <t xml:space="preserve">НКД уплаченный при приобретении</t>
  </si>
  <si>
    <t xml:space="preserve">Разница между датами платежа и поставки</t>
  </si>
  <si>
    <t xml:space="preserve">Из гр. 31 прочие комиссии, руб.</t>
  </si>
  <si>
    <t xml:space="preserve">Из гр. 32 прочие комиссии, руб.</t>
  </si>
  <si>
    <t xml:space="preserve">Купонный доход, полученный от эмитента при погашении купонов в отчетном (налоговом) периоде (кроме купона, полученного при погашении бумаги)</t>
  </si>
  <si>
    <r>
      <t xml:space="preserve">Стоимость приобретения, признанная расходами </t>
    </r>
    <r>
      <rPr>
        <u val="single"/>
        <sz val="8"/>
        <rFont val="Arial Narrow"/>
      </rPr>
      <t xml:space="preserve">до НОП</t>
    </r>
    <r>
      <rPr>
        <sz val="8"/>
        <rFont val="Arial Narrow"/>
      </rPr>
      <t xml:space="preserve"> при частичном погашении номинала (до оценки "на рыночность"), 
</t>
    </r>
    <r>
      <rPr>
        <u val="single"/>
        <sz val="8"/>
        <rFont val="Arial Narrow"/>
      </rPr>
      <t xml:space="preserve">в валюте сделки</t>
    </r>
  </si>
  <si>
    <t xml:space="preserve">Фин. рез для выверки, руб. 
(гр.14- гр.15+ гр.17- гр.33+ гр.29+ гр.31+ гр.32)</t>
  </si>
  <si>
    <t xml:space="preserve">Сумма в валюте номинала</t>
  </si>
  <si>
    <t xml:space="preserve">при приобретении </t>
  </si>
  <si>
    <t xml:space="preserve">от реализации (погашения)
(гр.14+ гр.16- гр.33)
</t>
  </si>
  <si>
    <t xml:space="preserve">сальдо процентных доходов и расходов (гр.17 - гр.15) </t>
  </si>
  <si>
    <t>К10</t>
  </si>
  <si>
    <t>А7</t>
  </si>
  <si>
    <t>&lt;NkdSrub&gt;</t>
  </si>
  <si>
    <t>&lt;NKDRepRub&gt;</t>
  </si>
  <si>
    <t>&lt;AmortRubrep&gt;</t>
  </si>
  <si>
    <t>&lt;NkdBrub&gt;</t>
  </si>
  <si>
    <t> &lt;Nom_DDS&gt;</t>
  </si>
  <si>
    <t> &lt;Nom_DDB&gt;</t>
  </si>
  <si>
    <t>&lt;RFISSS&gt;</t>
  </si>
  <si>
    <t>&lt;DRS&gt;</t>
  </si>
  <si>
    <t> &lt;DRB&gt;</t>
  </si>
  <si>
    <t>&lt;NkdPrevRub&gt;</t>
  </si>
  <si>
    <t>&lt;CoupRub&gt;</t>
  </si>
  <si>
    <t>&lt;КSumBvn&gt;</t>
  </si>
  <si>
    <t>&lt;SumBvpPrev_exps&gt;</t>
  </si>
  <si>
    <t xml:space="preserve">Реализация (погашение) купонных облигаций, номинал которых выражен в иностранной валюте</t>
  </si>
  <si>
    <r>
      <t xml:space="preserve">Купонный доход, полученный от эмитента при погашении купонов в отчетном периоде, 
</t>
    </r>
    <r>
      <rPr>
        <i/>
        <u val="single"/>
        <sz val="8"/>
        <rFont val="Arial"/>
      </rPr>
      <t xml:space="preserve">в валюте номинала</t>
    </r>
  </si>
  <si>
    <t xml:space="preserve">Суммы % дохода, учтенные при налогообложении до начала  отчетного периода, руб.</t>
  </si>
  <si>
    <t>гр.29</t>
  </si>
  <si>
    <t>гр.16</t>
  </si>
  <si>
    <t>гр.31+гр.32</t>
  </si>
  <si>
    <t>гр.33</t>
  </si>
  <si>
    <t>гр.17</t>
  </si>
  <si>
    <t>гр.15</t>
  </si>
  <si>
    <t>гр.27</t>
  </si>
  <si>
    <t xml:space="preserve">гр.К8 + часть гр. 12 с учетом гр.S0</t>
  </si>
  <si>
    <t>&lt;PeriodCode&gt;</t>
  </si>
  <si>
    <t>&lt;H0_CodeNU_U&gt;</t>
  </si>
  <si>
    <t>&lt;H0_CodeNU_AP&gt;</t>
  </si>
  <si>
    <t xml:space="preserve">Дата заключения сделки реализации (дата погашения) ЦБ</t>
  </si>
  <si>
    <t>Номинал</t>
  </si>
  <si>
    <t xml:space="preserve">Валюта номинала</t>
  </si>
  <si>
    <t xml:space="preserve">Процентный доход за период с даты приобретения до даты начала отчетного периода</t>
  </si>
  <si>
    <t xml:space="preserve">Процентный доход за период с даты приобретения до даты реализации (погашения)</t>
  </si>
  <si>
    <t xml:space="preserve">Выручка от реализации (погашения) для целей налогообложения, руб</t>
  </si>
  <si>
    <t xml:space="preserve">Курс пересчета стоимости приобретения  в рублевый эквивалент</t>
  </si>
  <si>
    <t xml:space="preserve">в валюте номинала</t>
  </si>
  <si>
    <t xml:space="preserve">в рублях</t>
  </si>
  <si>
    <t xml:space="preserve">Всего 
(гр.Т9+ гр.Т10)</t>
  </si>
  <si>
    <t xml:space="preserve">от реализации (погашения)
(гр.20+ гр.24- гр.39)
</t>
  </si>
  <si>
    <t xml:space="preserve">сальдо процентных доходов и расходов (гр.19) </t>
  </si>
  <si>
    <t>T11</t>
  </si>
  <si>
    <t> &lt;Nom&gt;</t>
  </si>
  <si>
    <t> &lt;VN&gt;</t>
  </si>
  <si>
    <t>&lt;PrSnom&gt; </t>
  </si>
  <si>
    <t>&lt;SumSrub&gt; </t>
  </si>
  <si>
    <t>&lt;NkdBefRub&gt;</t>
  </si>
  <si>
    <t>&lt;NKDownRub&gt; </t>
  </si>
  <si>
    <t>&lt;RashAll&gt; 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</si>
</sst>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_-* #,##0.00_р_._-;\-* #,##0.00_р_._-;_-* &quot;-&quot;??_р_._-;_-@_-"/>
    <numFmt numFmtId="165" formatCode="dd\ mmm\ yy"/>
    <numFmt numFmtId="166" formatCode="#,##0.00000"/>
    <numFmt numFmtId="167" formatCode="#,##0.0000"/>
    <numFmt numFmtId="168" formatCode="_-* #,##0_р_._-;\-* #,##0_р_._-;_-* &quot;-&quot;??_р_._-;_-@_-"/>
  </numFmts>
  <fonts count="64">
    <font>
      <sz val="10.000000"/>
      <color theme="1"/>
      <name val="Arial Cyr"/>
    </font>
    <font>
      <sz val="11.000000"/>
      <color theme="1"/>
      <name val="Calibri"/>
      <scheme val="minor"/>
    </font>
    <font>
      <sz val="10.000000"/>
      <name val="Arial Cyr"/>
    </font>
    <font>
      <sz val="10.000000"/>
      <name val="Arial Narrow"/>
    </font>
    <font>
      <sz val="10.000000"/>
      <name val="Times New Roman"/>
    </font>
    <font>
      <b/>
      <sz val="10.000000"/>
      <name val="Arial Narrow"/>
    </font>
    <font>
      <sz val="10.000000"/>
      <color indexed="64"/>
      <name val="Arial Narrow"/>
    </font>
    <font>
      <b/>
      <sz val="10.000000"/>
      <color indexed="4"/>
      <name val="Arial Narrow"/>
    </font>
    <font>
      <b/>
      <sz val="10.000000"/>
      <color indexed="64"/>
      <name val="Arial Narrow"/>
    </font>
    <font>
      <b/>
      <sz val="10.000000"/>
      <color indexed="2"/>
      <name val="Arial Narrow"/>
    </font>
    <font>
      <sz val="10.000000"/>
      <color indexed="4"/>
      <name val="Arial Narrow"/>
    </font>
    <font>
      <sz val="12.000000"/>
      <name val="Times New Roman"/>
    </font>
    <font>
      <b/>
      <sz val="14.000000"/>
      <name val="Times New Roman CYR"/>
    </font>
    <font>
      <b/>
      <u/>
      <sz val="12.000000"/>
      <name val="Times New Roman"/>
    </font>
    <font>
      <b/>
      <u/>
      <sz val="12.000000"/>
      <color indexed="64"/>
      <name val="Times New Roman"/>
    </font>
    <font>
      <sz val="10.000000"/>
      <color indexed="64"/>
      <name val="Times New Roman"/>
    </font>
    <font>
      <sz val="12.000000"/>
      <color indexed="4"/>
      <name val="Times New Roman"/>
    </font>
    <font>
      <i/>
      <sz val="12.000000"/>
      <name val="Times New Roman"/>
    </font>
    <font>
      <b/>
      <sz val="14.000000"/>
      <name val="Times New Roman"/>
    </font>
    <font>
      <b/>
      <sz val="12.000000"/>
      <name val="Times New Roman"/>
    </font>
    <font>
      <b/>
      <sz val="12.000000"/>
      <color indexed="64"/>
      <name val="Times New Roman"/>
    </font>
    <font>
      <sz val="12.000000"/>
      <color indexed="64"/>
      <name val="Times New Roman"/>
    </font>
    <font>
      <b/>
      <sz val="10.000000"/>
      <name val="Times New Roman"/>
    </font>
    <font>
      <b/>
      <sz val="10.000000"/>
      <color indexed="64"/>
      <name val="Times New Roman"/>
    </font>
    <font>
      <i/>
      <sz val="10.000000"/>
      <color indexed="64"/>
      <name val="Times New Roman"/>
    </font>
    <font>
      <b/>
      <sz val="10.000000"/>
      <color indexed="5"/>
      <name val="Times New Roman"/>
    </font>
    <font>
      <b/>
      <sz val="10.000000"/>
      <color indexed="2"/>
      <name val="Times New Roman"/>
    </font>
    <font>
      <sz val="10.000000"/>
      <color rgb="FF7030A0"/>
      <name val="Arial Narrow"/>
    </font>
    <font>
      <sz val="8.000000"/>
      <name val="Arial Cyr"/>
    </font>
    <font>
      <sz val="8.000000"/>
      <name val="Arial Narrow"/>
    </font>
    <font>
      <b/>
      <u/>
      <sz val="8.000000"/>
      <name val="Arial Narrow"/>
    </font>
    <font>
      <b/>
      <sz val="8.000000"/>
      <name val="Arial Narrow"/>
    </font>
    <font>
      <sz val="10.000000"/>
      <name val="Arial"/>
    </font>
    <font>
      <sz val="8.000000"/>
      <name val="Arial"/>
    </font>
    <font>
      <sz val="6.000000"/>
      <name val="Arial Narrow"/>
    </font>
    <font>
      <b/>
      <sz val="10.000000"/>
      <name val="Arial"/>
    </font>
    <font>
      <sz val="8.000000"/>
      <color indexed="2"/>
      <name val="Arial Narrow"/>
    </font>
    <font>
      <b/>
      <sz val="8.000000"/>
      <name val="Arial"/>
    </font>
    <font>
      <b/>
      <sz val="10.000000"/>
      <color rgb="FF0070C0"/>
      <name val="Arial Cyr"/>
    </font>
    <font>
      <b/>
      <sz val="8.000000"/>
      <color rgb="FF0070C0"/>
      <name val="Arial"/>
    </font>
    <font>
      <sz val="10.000000"/>
      <color indexed="23"/>
      <name val="Arial"/>
    </font>
    <font>
      <sz val="10.000000"/>
      <color indexed="23"/>
      <name val="Arial Narrow"/>
    </font>
    <font>
      <sz val="8.000000"/>
      <color theme="1"/>
      <name val="Arial Narrow"/>
    </font>
    <font>
      <i/>
      <u/>
      <sz val="8.000000"/>
      <name val="Arial"/>
    </font>
    <font>
      <b/>
      <sz val="8.000000"/>
      <color indexed="64"/>
      <name val="Arial"/>
    </font>
    <font>
      <sz val="8.000000"/>
      <color indexed="64"/>
      <name val="Arial"/>
    </font>
    <font>
      <b/>
      <sz val="10.000000"/>
      <color indexed="30"/>
      <name val="Arial Cyr"/>
    </font>
    <font>
      <b/>
      <sz val="8.000000"/>
      <color indexed="30"/>
      <name val="Arial"/>
    </font>
    <font>
      <sz val="9.000000"/>
      <name val="Arial"/>
    </font>
    <font>
      <b/>
      <sz val="9.000000"/>
      <name val="Arial Narrow"/>
    </font>
    <font>
      <b/>
      <sz val="10.000000"/>
      <color rgb="FF7030A0"/>
      <name val="Arial Narrow"/>
    </font>
    <font>
      <sz val="8.000000"/>
      <color indexed="64"/>
      <name val="Courier New"/>
    </font>
    <font>
      <b/>
      <sz val="8.000000"/>
      <color indexed="64"/>
      <name val="Courier New"/>
    </font>
    <font>
      <sz val="10.000000"/>
      <color theme="1"/>
      <name val="Arial Narrow"/>
    </font>
    <font>
      <b/>
      <sz val="10.000000"/>
      <color theme="1"/>
      <name val="Arial Narrow"/>
    </font>
    <font>
      <b/>
      <u/>
      <sz val="12.000000"/>
      <color theme="1"/>
      <name val="Times New Roman"/>
    </font>
    <font>
      <sz val="10.000000"/>
      <color theme="1"/>
      <name val="Times New Roman"/>
    </font>
    <font>
      <b/>
      <sz val="12.000000"/>
      <color theme="1"/>
      <name val="Times New Roman"/>
    </font>
    <font>
      <sz val="12.000000"/>
      <color theme="1"/>
      <name val="Times New Roman"/>
    </font>
    <font>
      <b/>
      <sz val="10.000000"/>
      <color theme="1"/>
      <name val="Times New Roman"/>
    </font>
    <font>
      <i/>
      <sz val="10.000000"/>
      <color theme="1"/>
      <name val="Times New Roman"/>
    </font>
    <font>
      <sz val="10.000000"/>
      <color indexed="4"/>
      <name val="Arial Cyr"/>
    </font>
    <font>
      <sz val="8.000000"/>
      <color indexed="4"/>
      <name val="Arial Narrow"/>
    </font>
    <font>
      <b/>
      <sz val="9.000000"/>
      <color indexed="30"/>
      <name val="Arial Narrow"/>
    </font>
  </fonts>
  <fills count="22">
    <fill>
      <patternFill patternType="none"/>
    </fill>
    <fill>
      <patternFill patternType="gray125"/>
    </fill>
    <fill>
      <patternFill patternType="solid">
        <fgColor rgb="FFBBD99F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indexed="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indexed="42"/>
      </patternFill>
    </fill>
    <fill>
      <patternFill patternType="solid">
        <fgColor rgb="FF009900"/>
      </patternFill>
    </fill>
    <fill>
      <patternFill patternType="solid">
        <fgColor rgb="FFD9D9D9"/>
      </patternFill>
    </fill>
    <fill>
      <patternFill patternType="solid">
        <fgColor indexed="27"/>
      </patternFill>
    </fill>
    <fill>
      <patternFill patternType="solid">
        <fgColor theme="4" tint="0.59999389629810485"/>
      </patternFill>
    </fill>
    <fill>
      <patternFill patternType="solid">
        <fgColor indexed="22"/>
      </patternFill>
    </fill>
    <fill>
      <patternFill patternType="solid">
        <fgColor theme="0" tint="-0.249977111117893"/>
      </patternFill>
    </fill>
    <fill>
      <patternFill patternType="solid">
        <fgColor rgb="FFBFBFBF"/>
      </patternFill>
    </fill>
    <fill>
      <patternFill patternType="solid">
        <fgColor rgb="FFBBD99F"/>
      </patternFill>
    </fill>
    <fill>
      <patternFill patternType="solid">
        <fgColor rgb="FF99FF66"/>
      </patternFill>
    </fill>
    <fill>
      <patternFill patternType="solid">
        <fgColor indexed="5"/>
      </patternFill>
    </fill>
    <fill>
      <patternFill patternType="solid">
        <fgColor rgb="FFCCFF99"/>
      </patternFill>
    </fill>
  </fills>
  <borders count="11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</borders>
  <cellStyleXfs count="5">
    <xf fontId="0" fillId="0" borderId="0" numFmtId="0" applyNumberFormat="1" applyFont="1" applyFill="1" applyBorder="1"/>
    <xf fontId="1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164" applyNumberFormat="1" applyFont="0" applyFill="0" applyBorder="0" applyProtection="0"/>
    <xf fontId="2" fillId="0" borderId="0" numFmtId="164" applyNumberFormat="1" applyFont="0" applyFill="0" applyBorder="0" applyProtection="0"/>
  </cellStyleXfs>
  <cellXfs count="274">
    <xf fontId="0" fillId="0" borderId="0" numFmtId="0" xfId="0"/>
    <xf fontId="3" fillId="0" borderId="0" numFmtId="0" xfId="2" applyFont="1" applyAlignment="1">
      <alignment vertical="top"/>
    </xf>
    <xf fontId="4" fillId="0" borderId="0" numFmtId="0" xfId="2" applyFont="1" applyAlignment="1">
      <alignment vertical="top"/>
    </xf>
    <xf fontId="3" fillId="2" borderId="1" numFmtId="0" xfId="0" applyFont="1" applyFill="1" applyBorder="1"/>
    <xf fontId="5" fillId="3" borderId="1" numFmtId="0" xfId="0" applyFont="1" applyFill="1" applyBorder="1" applyAlignment="1">
      <alignment horizontal="center"/>
    </xf>
    <xf fontId="5" fillId="3" borderId="1" numFmtId="49" xfId="0" applyNumberFormat="1" applyFont="1" applyFill="1" applyBorder="1" applyAlignment="1">
      <alignment horizontal="center"/>
    </xf>
    <xf fontId="5" fillId="4" borderId="1" numFmtId="49" xfId="0" applyNumberFormat="1" applyFont="1" applyFill="1" applyBorder="1" applyAlignment="1">
      <alignment horizontal="center"/>
    </xf>
    <xf fontId="6" fillId="0" borderId="0" numFmtId="0" xfId="2" applyFont="1" applyAlignment="1">
      <alignment vertical="top"/>
    </xf>
    <xf fontId="7" fillId="0" borderId="0" numFmtId="0" xfId="2" applyFont="1" applyAlignment="1">
      <alignment vertical="top"/>
    </xf>
    <xf fontId="8" fillId="0" borderId="0" numFmtId="0" xfId="2" applyFont="1" applyAlignment="1">
      <alignment vertical="top"/>
    </xf>
    <xf fontId="9" fillId="0" borderId="0" numFmtId="0" xfId="2" applyFont="1" applyAlignment="1">
      <alignment vertical="top"/>
    </xf>
    <xf fontId="10" fillId="0" borderId="0" numFmtId="0" xfId="2" applyFont="1" applyAlignment="1">
      <alignment horizontal="center" vertical="top" wrapText="1"/>
    </xf>
    <xf fontId="11" fillId="0" borderId="0" numFmtId="0" xfId="2" applyFont="1" applyAlignment="1">
      <alignment vertical="top"/>
    </xf>
    <xf fontId="12" fillId="0" borderId="0" numFmtId="0" xfId="0" applyFont="1"/>
    <xf fontId="13" fillId="0" borderId="0" numFmtId="0" xfId="2" applyFont="1" applyAlignment="1">
      <alignment vertical="top" wrapText="1"/>
    </xf>
    <xf fontId="4" fillId="0" borderId="0" numFmtId="0" xfId="2" applyFont="1" applyAlignment="1">
      <alignment horizontal="center" vertical="top"/>
    </xf>
    <xf fontId="13" fillId="0" borderId="0" numFmtId="0" xfId="2" applyFont="1" applyAlignment="1">
      <alignment vertical="top"/>
    </xf>
    <xf fontId="14" fillId="0" borderId="0" numFmtId="0" xfId="2" applyFont="1" applyAlignment="1">
      <alignment vertical="top"/>
    </xf>
    <xf fontId="15" fillId="0" borderId="0" numFmtId="0" xfId="2" applyFont="1" applyAlignment="1">
      <alignment vertical="top"/>
    </xf>
    <xf fontId="16" fillId="0" borderId="0" numFmtId="0" xfId="2" applyFont="1" applyAlignment="1">
      <alignment horizontal="center" vertical="top" wrapText="1"/>
    </xf>
    <xf fontId="17" fillId="0" borderId="0" numFmtId="0" xfId="2" applyFont="1" applyAlignment="1">
      <alignment horizontal="left" vertical="top"/>
    </xf>
    <xf fontId="13" fillId="0" borderId="0" numFmtId="0" xfId="2" applyFont="1" applyAlignment="1">
      <alignment horizontal="center" vertical="top"/>
    </xf>
    <xf fontId="18" fillId="0" borderId="0" numFmtId="0" xfId="2" applyFont="1" applyAlignment="1">
      <alignment horizontal="left" vertical="top"/>
    </xf>
    <xf fontId="19" fillId="0" borderId="0" numFmtId="0" xfId="2" applyFont="1" applyAlignment="1">
      <alignment horizontal="left" vertical="top"/>
    </xf>
    <xf fontId="11" fillId="0" borderId="0" numFmtId="0" xfId="2" applyFont="1" applyAlignment="1">
      <alignment vertical="top" wrapText="1"/>
    </xf>
    <xf fontId="19" fillId="0" borderId="0" numFmtId="0" xfId="2" applyFont="1" applyAlignment="1">
      <alignment horizontal="center" vertical="top" wrapText="1"/>
    </xf>
    <xf fontId="20" fillId="0" borderId="0" numFmtId="0" xfId="2" applyFont="1" applyAlignment="1">
      <alignment horizontal="center" vertical="top" wrapText="1"/>
    </xf>
    <xf fontId="11" fillId="0" borderId="0" numFmtId="0" xfId="2" applyFont="1" applyAlignment="1">
      <alignment horizontal="right" vertical="top"/>
    </xf>
    <xf fontId="19" fillId="0" borderId="1" numFmtId="0" xfId="2" applyFont="1" applyBorder="1" applyAlignment="1">
      <alignment horizontal="center" vertical="center"/>
    </xf>
    <xf fontId="11" fillId="0" borderId="0" numFmtId="165" xfId="2" applyNumberFormat="1" applyFont="1" applyAlignment="1">
      <alignment vertical="top" wrapText="1"/>
    </xf>
    <xf fontId="11" fillId="0" borderId="0" numFmtId="0" xfId="2" applyFont="1" applyAlignment="1">
      <alignment horizontal="center" vertical="top"/>
    </xf>
    <xf fontId="21" fillId="0" borderId="0" numFmtId="0" xfId="2" applyFont="1" applyAlignment="1">
      <alignment horizontal="right" vertical="top"/>
    </xf>
    <xf fontId="22" fillId="0" borderId="0" numFmtId="0" xfId="2" applyFont="1" applyAlignment="1">
      <alignment horizontal="left" vertical="top" wrapText="1"/>
    </xf>
    <xf fontId="4" fillId="0" borderId="0" numFmtId="0" xfId="2" applyFont="1" applyAlignment="1">
      <alignment horizontal="center" vertical="top" wrapText="1"/>
    </xf>
    <xf fontId="3" fillId="5" borderId="1" numFmtId="0" xfId="0" applyFont="1" applyFill="1" applyBorder="1" applyAlignment="1">
      <alignment horizontal="center"/>
    </xf>
    <xf fontId="23" fillId="0" borderId="0" numFmtId="0" xfId="2" applyFont="1" applyAlignment="1">
      <alignment horizontal="center" vertical="top"/>
    </xf>
    <xf fontId="20" fillId="0" borderId="0" numFmtId="0" xfId="2" applyFont="1" applyAlignment="1">
      <alignment horizontal="left" vertical="top"/>
    </xf>
    <xf fontId="5" fillId="0" borderId="1" numFmtId="3" xfId="0" applyNumberFormat="1" applyFont="1" applyBorder="1" applyAlignment="1">
      <alignment horizontal="right" vertical="top"/>
    </xf>
    <xf fontId="5" fillId="0" borderId="1" numFmtId="0" xfId="0" applyFont="1" applyBorder="1" applyAlignment="1">
      <alignment horizontal="center" vertical="top"/>
    </xf>
    <xf fontId="5" fillId="0" borderId="1" numFmtId="166" xfId="0" applyNumberFormat="1" applyFont="1" applyBorder="1" applyAlignment="1">
      <alignment horizontal="right" vertical="top"/>
    </xf>
    <xf fontId="5" fillId="0" borderId="1" numFmtId="4" xfId="0" applyNumberFormat="1" applyFont="1" applyBorder="1" applyAlignment="1">
      <alignment horizontal="right" vertical="top"/>
    </xf>
    <xf fontId="5" fillId="6" borderId="1" numFmtId="4" xfId="0" applyNumberFormat="1" applyFont="1" applyFill="1" applyBorder="1" applyAlignment="1">
      <alignment horizontal="right" vertical="top"/>
    </xf>
    <xf fontId="5" fillId="0" borderId="1" numFmtId="49" xfId="0" applyNumberFormat="1" applyFont="1" applyBorder="1" applyAlignment="1">
      <alignment horizontal="left" vertical="top"/>
    </xf>
    <xf fontId="5" fillId="0" borderId="1" numFmtId="14" xfId="0" applyNumberFormat="1" applyFont="1" applyBorder="1" applyAlignment="1">
      <alignment horizontal="center" vertical="top"/>
    </xf>
    <xf fontId="5" fillId="0" borderId="1" numFmtId="167" xfId="0" applyNumberFormat="1" applyFont="1" applyBorder="1" applyAlignment="1">
      <alignment horizontal="right" vertical="top"/>
    </xf>
    <xf fontId="5" fillId="0" borderId="1" numFmtId="0" xfId="0" applyFont="1" applyBorder="1" applyAlignment="1">
      <alignment horizontal="left" vertical="top"/>
    </xf>
    <xf fontId="5" fillId="7" borderId="1" numFmtId="14" xfId="0" applyNumberFormat="1" applyFont="1" applyFill="1" applyBorder="1" applyAlignment="1">
      <alignment horizontal="center" vertical="top"/>
    </xf>
    <xf fontId="5" fillId="7" borderId="1" numFmtId="167" xfId="0" applyNumberFormat="1" applyFont="1" applyFill="1" applyBorder="1" applyAlignment="1">
      <alignment horizontal="right" vertical="top"/>
    </xf>
    <xf fontId="5" fillId="7" borderId="1" numFmtId="0" xfId="0" applyFont="1" applyFill="1" applyBorder="1" applyAlignment="1">
      <alignment horizontal="right" vertical="top"/>
    </xf>
    <xf fontId="5" fillId="7" borderId="1" numFmtId="0" xfId="0" applyFont="1" applyFill="1" applyBorder="1" applyAlignment="1">
      <alignment horizontal="center" vertical="top"/>
    </xf>
    <xf fontId="5" fillId="7" borderId="1" numFmtId="49" xfId="0" applyNumberFormat="1" applyFont="1" applyFill="1" applyBorder="1" applyAlignment="1">
      <alignment horizontal="left" vertical="top"/>
    </xf>
    <xf fontId="5" fillId="7" borderId="1" numFmtId="49" xfId="0" applyNumberFormat="1" applyFont="1" applyFill="1" applyBorder="1" applyAlignment="1">
      <alignment horizontal="center" vertical="top"/>
    </xf>
    <xf fontId="5" fillId="7" borderId="1" numFmtId="1" xfId="0" applyNumberFormat="1" applyFont="1" applyFill="1" applyBorder="1" applyAlignment="1">
      <alignment horizontal="right" vertical="top"/>
    </xf>
    <xf fontId="5" fillId="7" borderId="1" numFmtId="4" xfId="0" applyNumberFormat="1" applyFont="1" applyFill="1" applyBorder="1" applyAlignment="1">
      <alignment horizontal="right" vertical="top"/>
    </xf>
    <xf fontId="5" fillId="0" borderId="1" numFmtId="49" xfId="0" applyNumberFormat="1" applyFont="1" applyBorder="1" applyAlignment="1">
      <alignment horizontal="right" vertical="top"/>
    </xf>
    <xf fontId="24" fillId="0" borderId="0" numFmtId="0" xfId="2" applyFont="1" applyAlignment="1">
      <alignment horizontal="left" vertical="top"/>
    </xf>
    <xf fontId="25" fillId="8" borderId="1" numFmtId="1" xfId="2" applyNumberFormat="1" applyFont="1" applyFill="1" applyBorder="1" applyAlignment="1">
      <alignment horizontal="center" vertical="top"/>
    </xf>
    <xf fontId="25" fillId="8" borderId="1" numFmtId="0" xfId="2" applyFont="1" applyFill="1" applyBorder="1" applyAlignment="1">
      <alignment horizontal="center" vertical="center"/>
    </xf>
    <xf fontId="26" fillId="9" borderId="1" numFmtId="0" xfId="2" applyFont="1" applyFill="1" applyBorder="1" applyAlignment="1">
      <alignment horizontal="center" vertical="center"/>
    </xf>
    <xf fontId="27" fillId="0" borderId="0" numFmtId="0" xfId="2" applyFont="1" applyAlignment="1">
      <alignment horizontal="left" vertical="top"/>
    </xf>
    <xf fontId="17" fillId="0" borderId="0" numFmtId="0" xfId="0" applyFont="1" applyAlignment="1">
      <alignment vertical="top"/>
    </xf>
    <xf fontId="13" fillId="0" borderId="0" numFmtId="0" xfId="0" applyFont="1" applyAlignment="1">
      <alignment horizontal="left" vertical="top"/>
    </xf>
    <xf fontId="13" fillId="0" borderId="0" numFmtId="0" xfId="0" applyFont="1" applyAlignment="1">
      <alignment horizontal="right" vertical="top"/>
    </xf>
    <xf fontId="28" fillId="0" borderId="0" numFmtId="0" xfId="0" applyFont="1"/>
    <xf fontId="29" fillId="10" borderId="2" numFmtId="0" xfId="0" applyFont="1" applyFill="1" applyBorder="1" applyAlignment="1">
      <alignment horizontal="center" vertical="top" wrapText="1"/>
    </xf>
    <xf fontId="29" fillId="10" borderId="3" numFmtId="0" xfId="0" applyFont="1" applyFill="1" applyBorder="1" applyAlignment="1">
      <alignment horizontal="center" vertical="top" wrapText="1"/>
    </xf>
    <xf fontId="29" fillId="10" borderId="4" numFmtId="0" xfId="0" applyFont="1" applyFill="1" applyBorder="1" applyAlignment="1">
      <alignment horizontal="center" vertical="top" wrapText="1"/>
    </xf>
    <xf fontId="30" fillId="10" borderId="3" numFmtId="0" xfId="0" applyFont="1" applyFill="1" applyBorder="1" applyAlignment="1">
      <alignment horizontal="center" vertical="top" wrapText="1"/>
    </xf>
    <xf fontId="30" fillId="10" borderId="5" numFmtId="0" xfId="0" applyFont="1" applyFill="1" applyBorder="1" applyAlignment="1">
      <alignment horizontal="center" vertical="top" wrapText="1"/>
    </xf>
    <xf fontId="30" fillId="10" borderId="4" numFmtId="0" xfId="0" applyFont="1" applyFill="1" applyBorder="1" applyAlignment="1">
      <alignment horizontal="center" vertical="top" wrapText="1"/>
    </xf>
    <xf fontId="0" fillId="0" borderId="0" numFmtId="0" xfId="0"/>
    <xf fontId="29" fillId="10" borderId="6" numFmtId="0" xfId="0" applyFont="1" applyFill="1" applyBorder="1" applyAlignment="1">
      <alignment horizontal="center" vertical="top" wrapText="1"/>
    </xf>
    <xf fontId="29" fillId="10" borderId="1" numFmtId="0" xfId="0" applyFont="1" applyFill="1" applyBorder="1" applyAlignment="1">
      <alignment horizontal="center" vertical="top" wrapText="1"/>
    </xf>
    <xf fontId="25" fillId="11" borderId="1" numFmtId="1" xfId="2" applyNumberFormat="1" applyFont="1" applyFill="1" applyBorder="1" applyAlignment="1">
      <alignment horizontal="center" vertical="top"/>
    </xf>
    <xf fontId="31" fillId="10" borderId="1" numFmtId="0" xfId="0" applyFont="1" applyFill="1" applyBorder="1" applyAlignment="1">
      <alignment horizontal="center" vertical="top" wrapText="1"/>
    </xf>
    <xf fontId="0" fillId="0" borderId="0" numFmtId="0" xfId="0" applyAlignment="1">
      <alignment vertical="top" wrapText="1"/>
    </xf>
    <xf fontId="29" fillId="0" borderId="1" numFmtId="49" xfId="0" applyNumberFormat="1" applyFont="1" applyBorder="1" applyAlignment="1">
      <alignment horizontal="left" vertical="top"/>
    </xf>
    <xf fontId="29" fillId="0" borderId="1" numFmtId="14" xfId="0" applyNumberFormat="1" applyFont="1" applyBorder="1" applyAlignment="1">
      <alignment horizontal="center" vertical="top"/>
    </xf>
    <xf fontId="29" fillId="0" borderId="1" numFmtId="3" xfId="0" applyNumberFormat="1" applyFont="1" applyBorder="1" applyAlignment="1">
      <alignment horizontal="right" vertical="top"/>
    </xf>
    <xf fontId="29" fillId="0" borderId="1" numFmtId="0" xfId="0" applyFont="1" applyBorder="1" applyAlignment="1">
      <alignment horizontal="center" vertical="top"/>
    </xf>
    <xf fontId="29" fillId="0" borderId="1" numFmtId="166" xfId="0" applyNumberFormat="1" applyFont="1" applyBorder="1" applyAlignment="1">
      <alignment horizontal="right" vertical="top"/>
    </xf>
    <xf fontId="29" fillId="0" borderId="1" numFmtId="4" xfId="0" applyNumberFormat="1" applyFont="1" applyBorder="1" applyAlignment="1">
      <alignment horizontal="right" vertical="top"/>
    </xf>
    <xf fontId="29" fillId="12" borderId="1" numFmtId="4" xfId="0" applyNumberFormat="1" applyFont="1" applyFill="1" applyBorder="1" applyAlignment="1">
      <alignment horizontal="right" vertical="top"/>
    </xf>
    <xf fontId="29" fillId="0" borderId="1" numFmtId="167" xfId="0" applyNumberFormat="1" applyFont="1" applyBorder="1" applyAlignment="1">
      <alignment horizontal="right" vertical="top"/>
    </xf>
    <xf fontId="29" fillId="0" borderId="1" numFmtId="0" xfId="0" applyFont="1" applyBorder="1" applyAlignment="1">
      <alignment horizontal="left" vertical="top"/>
    </xf>
    <xf fontId="29" fillId="13" borderId="1" numFmtId="14" xfId="0" applyNumberFormat="1" applyFont="1" applyFill="1" applyBorder="1" applyAlignment="1">
      <alignment horizontal="center" vertical="top"/>
    </xf>
    <xf fontId="29" fillId="13" borderId="1" numFmtId="167" xfId="0" applyNumberFormat="1" applyFont="1" applyFill="1" applyBorder="1" applyAlignment="1">
      <alignment horizontal="right" vertical="top"/>
    </xf>
    <xf fontId="29" fillId="13" borderId="1" numFmtId="0" xfId="0" applyFont="1" applyFill="1" applyBorder="1" applyAlignment="1">
      <alignment horizontal="right" vertical="top"/>
    </xf>
    <xf fontId="29" fillId="13" borderId="1" numFmtId="0" xfId="0" applyFont="1" applyFill="1" applyBorder="1" applyAlignment="1">
      <alignment horizontal="center" vertical="top"/>
    </xf>
    <xf fontId="29" fillId="13" borderId="1" numFmtId="49" xfId="0" applyNumberFormat="1" applyFont="1" applyFill="1" applyBorder="1" applyAlignment="1">
      <alignment horizontal="left" vertical="top"/>
    </xf>
    <xf fontId="29" fillId="13" borderId="1" numFmtId="49" xfId="0" applyNumberFormat="1" applyFont="1" applyFill="1" applyBorder="1" applyAlignment="1">
      <alignment horizontal="center" vertical="top"/>
    </xf>
    <xf fontId="29" fillId="13" borderId="1" numFmtId="1" xfId="0" applyNumberFormat="1" applyFont="1" applyFill="1" applyBorder="1" applyAlignment="1">
      <alignment horizontal="right" vertical="top"/>
    </xf>
    <xf fontId="29" fillId="13" borderId="1" numFmtId="4" xfId="0" applyNumberFormat="1" applyFont="1" applyFill="1" applyBorder="1" applyAlignment="1">
      <alignment horizontal="right" vertical="top"/>
    </xf>
    <xf fontId="29" fillId="0" borderId="1" numFmtId="49" xfId="0" applyNumberFormat="1" applyFont="1" applyBorder="1" applyAlignment="1">
      <alignment horizontal="right" vertical="top"/>
    </xf>
    <xf fontId="28" fillId="0" borderId="7" numFmtId="167" xfId="0" applyNumberFormat="1" applyFont="1" applyBorder="1"/>
    <xf fontId="32" fillId="0" borderId="0" numFmtId="0" xfId="0" applyFont="1"/>
    <xf fontId="33" fillId="0" borderId="0" numFmtId="0" xfId="0" applyFont="1"/>
    <xf fontId="29" fillId="0" borderId="0" numFmtId="49" xfId="0" applyNumberFormat="1" applyFont="1" applyAlignment="1">
      <alignment horizontal="left"/>
    </xf>
    <xf fontId="29" fillId="0" borderId="0" numFmtId="4" xfId="0" applyNumberFormat="1" applyFont="1" applyAlignment="1">
      <alignment horizontal="left"/>
    </xf>
    <xf fontId="3" fillId="0" borderId="0" numFmtId="4" xfId="0" applyNumberFormat="1" applyFont="1" applyAlignment="1">
      <alignment horizontal="right"/>
    </xf>
    <xf fontId="29" fillId="0" borderId="0" numFmtId="0" xfId="0" applyFont="1" applyAlignment="1">
      <alignment horizontal="left"/>
    </xf>
    <xf fontId="34" fillId="0" borderId="0" numFmtId="0" xfId="0" applyFont="1"/>
    <xf fontId="35" fillId="0" borderId="0" numFmtId="0" xfId="0" applyFont="1"/>
    <xf fontId="34" fillId="0" borderId="0" numFmtId="168" xfId="3" applyNumberFormat="1" applyFont="1"/>
    <xf fontId="34" fillId="0" borderId="0" numFmtId="164" xfId="3" applyNumberFormat="1" applyFont="1"/>
    <xf fontId="36" fillId="0" borderId="0" numFmtId="0" xfId="0" applyFont="1" applyAlignment="1">
      <alignment vertical="top"/>
    </xf>
    <xf fontId="33" fillId="0" borderId="0" numFmtId="0" xfId="0" applyFont="1" applyAlignment="1">
      <alignment horizontal="left"/>
    </xf>
    <xf fontId="29" fillId="0" borderId="0" numFmtId="49" xfId="0" applyNumberFormat="1" applyFont="1"/>
    <xf fontId="31" fillId="0" borderId="0" numFmtId="0" xfId="0" applyFont="1" applyAlignment="1">
      <alignment vertical="top"/>
    </xf>
    <xf fontId="3" fillId="0" borderId="0" numFmtId="0" xfId="0" applyFont="1"/>
    <xf fontId="33" fillId="0" borderId="0" numFmtId="0" xfId="0" applyFont="1" applyAlignment="1">
      <alignment vertical="top"/>
    </xf>
    <xf fontId="29" fillId="0" borderId="0" numFmtId="49" xfId="0" applyNumberFormat="1" applyFont="1" applyAlignment="1">
      <alignment horizontal="center" vertical="top"/>
    </xf>
    <xf fontId="3" fillId="0" borderId="0" numFmtId="168" xfId="3" applyNumberFormat="1" applyFont="1"/>
    <xf fontId="3" fillId="0" borderId="0" numFmtId="164" xfId="3" applyNumberFormat="1" applyFont="1"/>
    <xf fontId="37" fillId="0" borderId="0" numFmtId="0" xfId="0" applyFont="1" applyAlignment="1">
      <alignment vertical="top"/>
    </xf>
    <xf fontId="32" fillId="0" borderId="0" numFmtId="0" xfId="0" applyFont="1" applyAlignment="1">
      <alignment vertical="top"/>
    </xf>
    <xf fontId="32" fillId="0" borderId="0" numFmtId="0" xfId="0" applyFont="1" applyAlignment="1">
      <alignment horizontal="left"/>
    </xf>
    <xf fontId="3" fillId="0" borderId="0" numFmtId="164" xfId="3" applyNumberFormat="1" applyFont="1" applyAlignment="1">
      <alignment horizontal="right"/>
    </xf>
    <xf fontId="29" fillId="0" borderId="0" numFmtId="14" xfId="0" applyNumberFormat="1" applyFont="1" applyAlignment="1">
      <alignment horizontal="left"/>
    </xf>
    <xf fontId="0" fillId="0" borderId="0" numFmtId="0" xfId="0" applyAlignment="1">
      <alignment horizontal="left"/>
    </xf>
    <xf fontId="32" fillId="0" borderId="0" numFmtId="168" xfId="3" applyNumberFormat="1" applyFont="1"/>
    <xf fontId="32" fillId="0" borderId="0" numFmtId="164" xfId="3" applyNumberFormat="1" applyFont="1"/>
    <xf fontId="35" fillId="0" borderId="0" numFmtId="14" xfId="0" applyNumberFormat="1" applyFont="1" applyAlignment="1">
      <alignment horizontal="center"/>
    </xf>
    <xf fontId="31" fillId="0" borderId="0" numFmtId="0" xfId="0" applyFont="1" applyAlignment="1">
      <alignment horizontal="left"/>
    </xf>
    <xf fontId="35" fillId="0" borderId="0" numFmtId="0" xfId="0" applyFont="1" applyAlignment="1">
      <alignment horizontal="left"/>
    </xf>
    <xf fontId="29" fillId="0" borderId="0" numFmtId="0" xfId="0" applyFont="1"/>
    <xf fontId="29" fillId="0" borderId="0" numFmtId="4" xfId="0" applyNumberFormat="1" applyFont="1" applyAlignment="1">
      <alignment horizontal="right"/>
    </xf>
    <xf fontId="29" fillId="0" borderId="0" numFmtId="3" xfId="0" applyNumberFormat="1" applyFont="1" applyAlignment="1">
      <alignment horizontal="right"/>
    </xf>
    <xf fontId="33" fillId="10" borderId="2" numFmtId="0" xfId="0" applyFont="1" applyFill="1" applyBorder="1" applyAlignment="1">
      <alignment horizontal="center" vertical="top" wrapText="1"/>
    </xf>
    <xf fontId="33" fillId="10" borderId="1" numFmtId="0" xfId="0" applyFont="1" applyFill="1" applyBorder="1" applyAlignment="1">
      <alignment horizontal="center" vertical="top" wrapText="1"/>
    </xf>
    <xf fontId="33" fillId="10" borderId="8" numFmtId="0" xfId="0" applyFont="1" applyFill="1" applyBorder="1" applyAlignment="1">
      <alignment horizontal="center" vertical="top" wrapText="1"/>
    </xf>
    <xf fontId="33" fillId="10" borderId="6" numFmtId="0" xfId="0" applyFont="1" applyFill="1" applyBorder="1" applyAlignment="1">
      <alignment horizontal="center" vertical="top" wrapText="1"/>
    </xf>
    <xf fontId="33" fillId="14" borderId="1" numFmtId="0" xfId="0" applyFont="1" applyFill="1" applyBorder="1" applyAlignment="1">
      <alignment horizontal="center" vertical="top" wrapText="1"/>
    </xf>
    <xf fontId="38" fillId="0" borderId="0" numFmtId="0" xfId="0" applyFont="1"/>
    <xf fontId="0" fillId="0" borderId="6" numFmtId="0" xfId="0" applyBorder="1" applyAlignment="1">
      <alignment horizontal="center" vertical="top" wrapText="1"/>
    </xf>
    <xf fontId="39" fillId="10" borderId="6" numFmtId="0" xfId="0" applyFont="1" applyFill="1" applyBorder="1" applyAlignment="1">
      <alignment horizontal="center" vertical="top" wrapText="1"/>
    </xf>
    <xf fontId="39" fillId="10" borderId="1" numFmtId="0" xfId="0" applyFont="1" applyFill="1" applyBorder="1" applyAlignment="1">
      <alignment horizontal="center" vertical="top" wrapText="1"/>
    </xf>
    <xf fontId="39" fillId="14" borderId="1" numFmtId="0" xfId="0" applyFont="1" applyFill="1" applyBorder="1" applyAlignment="1">
      <alignment horizontal="center" vertical="top" wrapText="1"/>
    </xf>
    <xf fontId="29" fillId="15" borderId="1" numFmtId="4" xfId="0" applyNumberFormat="1" applyFont="1" applyFill="1" applyBorder="1" applyAlignment="1">
      <alignment horizontal="right" vertical="top"/>
    </xf>
    <xf fontId="29" fillId="15" borderId="1" numFmtId="3" xfId="0" applyNumberFormat="1" applyFont="1" applyFill="1" applyBorder="1" applyAlignment="1">
      <alignment horizontal="right" vertical="top"/>
    </xf>
    <xf fontId="29" fillId="0" borderId="0" numFmtId="49" xfId="0" applyNumberFormat="1" applyFont="1" applyAlignment="1">
      <alignment horizontal="center"/>
    </xf>
    <xf fontId="29" fillId="0" borderId="0" numFmtId="4" xfId="0" applyNumberFormat="1" applyFont="1" applyAlignment="1">
      <alignment horizontal="center"/>
    </xf>
    <xf fontId="29" fillId="0" borderId="0" numFmtId="49" xfId="0" applyNumberFormat="1" applyFont="1" applyAlignment="1">
      <alignment vertical="top"/>
    </xf>
    <xf fontId="3" fillId="0" borderId="0" numFmtId="49" xfId="0" applyNumberFormat="1" applyFont="1" applyAlignment="1">
      <alignment vertical="top"/>
    </xf>
    <xf fontId="29" fillId="0" borderId="0" numFmtId="0" xfId="0" applyFont="1" applyAlignment="1">
      <alignment vertical="top"/>
    </xf>
    <xf fontId="29" fillId="0" borderId="0" numFmtId="0" xfId="0" applyFont="1" applyAlignment="1">
      <alignment horizontal="left" vertical="top"/>
    </xf>
    <xf fontId="3" fillId="0" borderId="0" numFmtId="0" xfId="0" applyFont="1" applyAlignment="1">
      <alignment horizontal="left" vertical="top"/>
    </xf>
    <xf fontId="31" fillId="0" borderId="0" numFmtId="0" xfId="0" applyFont="1" applyAlignment="1">
      <alignment horizontal="right" vertical="top"/>
    </xf>
    <xf fontId="35" fillId="0" borderId="0" numFmtId="14" xfId="0" applyNumberFormat="1" applyFont="1"/>
    <xf fontId="40" fillId="0" borderId="0" numFmtId="168" xfId="3" applyNumberFormat="1" applyFont="1"/>
    <xf fontId="32" fillId="0" borderId="0" numFmtId="164" xfId="3" applyNumberFormat="1" applyFont="1" applyAlignment="1">
      <alignment horizontal="right"/>
    </xf>
    <xf fontId="32" fillId="0" borderId="0" numFmtId="164" xfId="3" applyNumberFormat="1" applyFont="1" applyAlignment="1">
      <alignment vertical="top"/>
    </xf>
    <xf fontId="31" fillId="0" borderId="0" numFmtId="0" xfId="3" applyFont="1" applyAlignment="1">
      <alignment horizontal="left" vertical="top"/>
    </xf>
    <xf fontId="31" fillId="0" borderId="0" numFmtId="0" xfId="0" applyFont="1" applyAlignment="1">
      <alignment horizontal="left" vertical="top"/>
    </xf>
    <xf fontId="37" fillId="0" borderId="0" numFmtId="0" xfId="0" applyFont="1" applyAlignment="1">
      <alignment horizontal="left"/>
    </xf>
    <xf fontId="31" fillId="0" borderId="0" numFmtId="14" xfId="0" applyNumberFormat="1" applyFont="1"/>
    <xf fontId="41" fillId="0" borderId="0" numFmtId="168" xfId="3" applyNumberFormat="1" applyFont="1"/>
    <xf fontId="33" fillId="0" borderId="0" numFmtId="0" xfId="0" applyFont="1" applyAlignment="1">
      <alignment horizontal="right"/>
    </xf>
    <xf fontId="35" fillId="0" borderId="0" numFmtId="0" xfId="0" applyFont="1" applyAlignment="1">
      <alignment horizontal="right"/>
    </xf>
    <xf fontId="31" fillId="0" borderId="0" numFmtId="14" xfId="0" applyNumberFormat="1" applyFont="1" applyAlignment="1">
      <alignment horizontal="right"/>
    </xf>
    <xf fontId="41" fillId="0" borderId="0" numFmtId="168" xfId="3" applyNumberFormat="1" applyFont="1" applyAlignment="1">
      <alignment horizontal="right"/>
    </xf>
    <xf fontId="3" fillId="0" borderId="0" numFmtId="0" xfId="0" applyFont="1" applyAlignment="1">
      <alignment horizontal="right"/>
    </xf>
    <xf fontId="3" fillId="0" borderId="0" numFmtId="168" xfId="3" applyNumberFormat="1" applyFont="1" applyAlignment="1">
      <alignment horizontal="right"/>
    </xf>
    <xf fontId="29" fillId="0" borderId="0" numFmtId="0" xfId="0" applyFont="1" applyAlignment="1">
      <alignment horizontal="right"/>
    </xf>
    <xf fontId="29" fillId="0" borderId="0" numFmtId="4" xfId="0" applyNumberFormat="1" applyFont="1"/>
    <xf fontId="0" fillId="0" borderId="4" numFmtId="0" xfId="0" applyBorder="1" applyAlignment="1">
      <alignment horizontal="center" vertical="top" wrapText="1"/>
    </xf>
    <xf fontId="29" fillId="10" borderId="9" numFmtId="0" xfId="0" applyFont="1" applyFill="1" applyBorder="1" applyAlignment="1">
      <alignment horizontal="center" vertical="top" wrapText="1"/>
    </xf>
    <xf fontId="29" fillId="10" borderId="7" numFmtId="0" xfId="0" applyFont="1" applyFill="1" applyBorder="1" applyAlignment="1">
      <alignment horizontal="center" vertical="top" wrapText="1"/>
    </xf>
    <xf fontId="29" fillId="10" borderId="10" numFmtId="0" xfId="0" applyFont="1" applyFill="1" applyBorder="1" applyAlignment="1">
      <alignment horizontal="center" vertical="top" wrapText="1"/>
    </xf>
    <xf fontId="0" fillId="0" borderId="5" numFmtId="0" xfId="0" applyBorder="1" applyAlignment="1">
      <alignment horizontal="center" vertical="top" wrapText="1"/>
    </xf>
    <xf fontId="29" fillId="10" borderId="5" numFmtId="0" xfId="0" applyFont="1" applyFill="1" applyBorder="1" applyAlignment="1">
      <alignment horizontal="center" vertical="top" wrapText="1"/>
    </xf>
    <xf fontId="2" fillId="0" borderId="0" numFmtId="0" xfId="0" applyFont="1"/>
    <xf fontId="29" fillId="10" borderId="1" numFmtId="16" xfId="0" applyNumberFormat="1" applyFont="1" applyFill="1" applyBorder="1" applyAlignment="1" quotePrefix="1">
      <alignment horizontal="center" vertical="top" wrapText="1"/>
    </xf>
    <xf fontId="29" fillId="10" borderId="1" numFmtId="0" xfId="0" applyFont="1" applyFill="1" applyBorder="1" applyAlignment="1" quotePrefix="1">
      <alignment horizontal="center" vertical="top" wrapText="1"/>
    </xf>
    <xf fontId="29" fillId="10" borderId="1" numFmtId="49" xfId="0" applyNumberFormat="1" applyFont="1" applyFill="1" applyBorder="1" applyAlignment="1">
      <alignment horizontal="center" vertical="top" wrapText="1"/>
    </xf>
    <xf fontId="29" fillId="10" borderId="1" numFmtId="0" xfId="0" applyFont="1" applyFill="1" applyBorder="1" applyAlignment="1">
      <alignment horizontal="center" vertical="top"/>
    </xf>
    <xf fontId="0" fillId="0" borderId="0" numFmtId="0" xfId="0" applyAlignment="1">
      <alignment horizontal="center"/>
    </xf>
    <xf fontId="29" fillId="16" borderId="1" numFmtId="4" xfId="0" applyNumberFormat="1" applyFont="1" applyFill="1" applyBorder="1" applyAlignment="1">
      <alignment horizontal="right" vertical="top"/>
    </xf>
    <xf fontId="29" fillId="17" borderId="1" numFmtId="4" xfId="0" applyNumberFormat="1" applyFont="1" applyFill="1" applyBorder="1" applyAlignment="1">
      <alignment horizontal="right" vertical="top"/>
    </xf>
    <xf fontId="29" fillId="13" borderId="1" numFmtId="3" xfId="0" applyNumberFormat="1" applyFont="1" applyFill="1" applyBorder="1" applyAlignment="1">
      <alignment horizontal="right" vertical="top"/>
    </xf>
    <xf fontId="42" fillId="13" borderId="1" numFmtId="167" xfId="1" applyNumberFormat="1" applyFont="1" applyFill="1" applyBorder="1" applyAlignment="1">
      <alignment horizontal="right" vertical="top"/>
    </xf>
    <xf fontId="42" fillId="13" borderId="1" numFmtId="4" xfId="1" applyNumberFormat="1" applyFont="1" applyFill="1" applyBorder="1" applyAlignment="1">
      <alignment horizontal="right" vertical="top"/>
    </xf>
    <xf fontId="29" fillId="13" borderId="4" numFmtId="14" xfId="0" applyNumberFormat="1" applyFont="1" applyFill="1" applyBorder="1" applyAlignment="1">
      <alignment horizontal="center" vertical="top"/>
    </xf>
    <xf fontId="29" fillId="13" borderId="1" numFmtId="2" xfId="0" applyNumberFormat="1" applyFont="1" applyFill="1" applyBorder="1" applyAlignment="1">
      <alignment horizontal="center" vertical="top"/>
    </xf>
    <xf fontId="29" fillId="16" borderId="1" numFmtId="167" xfId="0" applyNumberFormat="1" applyFont="1" applyFill="1" applyBorder="1" applyAlignment="1">
      <alignment horizontal="right" vertical="top"/>
    </xf>
    <xf fontId="29" fillId="13" borderId="1" numFmtId="3" xfId="0" applyNumberFormat="1" applyFont="1" applyFill="1" applyBorder="1" applyAlignment="1">
      <alignment horizontal="center" vertical="top"/>
    </xf>
    <xf fontId="29" fillId="0" borderId="0" numFmtId="0" xfId="0" applyFont="1" applyAlignment="1">
      <alignment horizontal="center" vertical="center" wrapText="1"/>
    </xf>
    <xf fontId="43" fillId="0" borderId="0" numFmtId="0" xfId="0" applyFont="1" applyAlignment="1">
      <alignment horizontal="left"/>
    </xf>
    <xf fontId="44" fillId="0" borderId="0" numFmtId="49" xfId="0" applyNumberFormat="1" applyFont="1" applyAlignment="1">
      <alignment horizontal="left" vertical="top"/>
    </xf>
    <xf fontId="45" fillId="0" borderId="0" numFmtId="0" xfId="0" applyFont="1" applyAlignment="1">
      <alignment vertical="top"/>
    </xf>
    <xf fontId="45" fillId="0" borderId="0" numFmtId="0" xfId="0" applyFont="1" applyAlignment="1">
      <alignment horizontal="left" vertical="top"/>
    </xf>
    <xf fontId="37" fillId="0" borderId="0" numFmtId="0" xfId="0" applyFont="1" applyAlignment="1">
      <alignment horizontal="left" vertical="top"/>
    </xf>
    <xf fontId="35" fillId="0" borderId="0" numFmtId="0" xfId="0" applyFont="1" applyAlignment="1">
      <alignment horizontal="left" vertical="top"/>
    </xf>
    <xf fontId="0" fillId="0" borderId="0" numFmtId="49" xfId="0" applyNumberFormat="1" applyAlignment="1">
      <alignment horizontal="left" vertical="top"/>
    </xf>
    <xf fontId="29" fillId="0" borderId="0" numFmtId="2" xfId="0" applyNumberFormat="1" applyFont="1"/>
    <xf fontId="3" fillId="0" borderId="0" numFmtId="3" xfId="0" applyNumberFormat="1" applyFont="1" applyAlignment="1">
      <alignment horizontal="right"/>
    </xf>
    <xf fontId="46" fillId="0" borderId="0" numFmtId="0" xfId="0" applyFont="1"/>
    <xf fontId="47" fillId="10" borderId="6" numFmtId="0" xfId="0" applyFont="1" applyFill="1" applyBorder="1" applyAlignment="1">
      <alignment horizontal="center" vertical="top" wrapText="1"/>
    </xf>
    <xf fontId="47" fillId="10" borderId="1" numFmtId="0" xfId="0" applyFont="1" applyFill="1" applyBorder="1" applyAlignment="1">
      <alignment horizontal="center" vertical="top" wrapText="1"/>
    </xf>
    <xf fontId="48" fillId="0" borderId="0" numFmtId="0" xfId="0" applyFont="1"/>
    <xf fontId="48" fillId="0" borderId="0" numFmtId="0" xfId="0" applyFont="1" applyAlignment="1">
      <alignment horizontal="center"/>
    </xf>
    <xf fontId="33" fillId="0" borderId="0" numFmtId="0" xfId="0" applyFont="1" applyAlignment="1">
      <alignment horizontal="center"/>
    </xf>
    <xf fontId="29" fillId="0" borderId="0" numFmtId="168" xfId="3" applyNumberFormat="1" applyFont="1" applyAlignment="1">
      <alignment vertical="top"/>
    </xf>
    <xf fontId="29" fillId="0" borderId="0" numFmtId="164" xfId="3" applyNumberFormat="1" applyFont="1" applyAlignment="1">
      <alignment vertical="top"/>
    </xf>
    <xf fontId="49" fillId="0" borderId="1" numFmtId="3" xfId="0" applyNumberFormat="1" applyFont="1" applyBorder="1" applyAlignment="1">
      <alignment horizontal="right" vertical="top"/>
    </xf>
    <xf fontId="49" fillId="0" borderId="1" numFmtId="167" xfId="0" applyNumberFormat="1" applyFont="1" applyBorder="1" applyAlignment="1">
      <alignment horizontal="right" vertical="top"/>
    </xf>
    <xf fontId="49" fillId="0" borderId="1" numFmtId="4" xfId="0" applyNumberFormat="1" applyFont="1" applyBorder="1" applyAlignment="1">
      <alignment horizontal="right" vertical="top"/>
    </xf>
    <xf fontId="49" fillId="0" borderId="1" numFmtId="49" xfId="0" applyNumberFormat="1" applyFont="1" applyBorder="1" applyAlignment="1">
      <alignment horizontal="left" vertical="top"/>
    </xf>
    <xf fontId="49" fillId="0" borderId="1" numFmtId="14" xfId="0" applyNumberFormat="1" applyFont="1" applyBorder="1" applyAlignment="1">
      <alignment horizontal="center" vertical="top"/>
    </xf>
    <xf fontId="49" fillId="0" borderId="1" numFmtId="1" xfId="0" applyNumberFormat="1" applyFont="1" applyBorder="1" applyAlignment="1">
      <alignment horizontal="center" vertical="top"/>
    </xf>
    <xf fontId="49" fillId="0" borderId="1" numFmtId="0" xfId="0" applyFont="1" applyBorder="1" applyAlignment="1">
      <alignment horizontal="center" vertical="top"/>
    </xf>
    <xf fontId="50" fillId="0" borderId="0" numFmtId="0" xfId="2" applyFont="1" applyAlignment="1">
      <alignment horizontal="left" vertical="top"/>
    </xf>
    <xf fontId="29" fillId="10" borderId="3" numFmtId="164" xfId="3" applyNumberFormat="1" applyFont="1" applyFill="1" applyBorder="1" applyAlignment="1">
      <alignment horizontal="center" vertical="top" wrapText="1"/>
    </xf>
    <xf fontId="29" fillId="10" borderId="5" numFmtId="164" xfId="3" applyNumberFormat="1" applyFont="1" applyFill="1" applyBorder="1" applyAlignment="1">
      <alignment horizontal="center" vertical="top" wrapText="1"/>
    </xf>
    <xf fontId="29" fillId="10" borderId="4" numFmtId="164" xfId="3" applyNumberFormat="1" applyFont="1" applyFill="1" applyBorder="1" applyAlignment="1">
      <alignment horizontal="center" vertical="top" wrapText="1"/>
    </xf>
    <xf fontId="29" fillId="10" borderId="3" numFmtId="49" xfId="3" applyNumberFormat="1" applyFont="1" applyFill="1" applyBorder="1" applyAlignment="1">
      <alignment horizontal="center" vertical="top" wrapText="1"/>
    </xf>
    <xf fontId="0" fillId="0" borderId="5" numFmtId="49" xfId="0" applyNumberFormat="1" applyBorder="1" applyAlignment="1">
      <alignment horizontal="center" vertical="top" wrapText="1"/>
    </xf>
    <xf fontId="0" fillId="0" borderId="4" numFmtId="49" xfId="0" applyNumberFormat="1" applyBorder="1" applyAlignment="1">
      <alignment horizontal="center" vertical="top" wrapText="1"/>
    </xf>
    <xf fontId="29" fillId="10" borderId="1" numFmtId="164" xfId="3" applyNumberFormat="1" applyFont="1" applyFill="1" applyBorder="1" applyAlignment="1">
      <alignment horizontal="center" vertical="top" wrapText="1"/>
    </xf>
    <xf fontId="33" fillId="0" borderId="0" numFmtId="0" xfId="0" applyFont="1" applyAlignment="1">
      <alignment vertical="top" wrapText="1"/>
    </xf>
    <xf fontId="33" fillId="0" borderId="0" numFmtId="168" xfId="3" applyNumberFormat="1" applyFont="1" applyAlignment="1">
      <alignment horizontal="centerContinuous" vertical="top"/>
    </xf>
    <xf fontId="33" fillId="0" borderId="0" numFmtId="164" xfId="3" applyNumberFormat="1" applyFont="1" applyAlignment="1">
      <alignment horizontal="centerContinuous" vertical="top"/>
    </xf>
    <xf fontId="51" fillId="0" borderId="0" numFmtId="0" xfId="0" applyFont="1" applyAlignment="1">
      <alignment horizontal="left" vertical="top"/>
    </xf>
    <xf fontId="51" fillId="0" borderId="0" numFmtId="0" xfId="0" applyFont="1" applyAlignment="1">
      <alignment vertical="top"/>
    </xf>
    <xf fontId="52" fillId="0" borderId="0" numFmtId="0" xfId="0" applyFont="1" applyAlignment="1">
      <alignment horizontal="left" vertical="top"/>
    </xf>
    <xf fontId="0" fillId="0" borderId="0" numFmtId="0" xfId="0" applyAlignment="1">
      <alignment vertical="top"/>
    </xf>
    <xf fontId="3" fillId="18" borderId="1" numFmtId="0" xfId="0" applyFont="1" applyFill="1" applyBorder="1"/>
    <xf fontId="5" fillId="19" borderId="1" numFmtId="0" xfId="0" applyFont="1" applyFill="1" applyBorder="1" applyAlignment="1">
      <alignment horizontal="center"/>
    </xf>
    <xf fontId="5" fillId="19" borderId="1" numFmtId="49" xfId="0" applyNumberFormat="1" applyFont="1" applyFill="1" applyBorder="1" applyAlignment="1">
      <alignment horizontal="center"/>
    </xf>
    <xf fontId="5" fillId="20" borderId="1" numFmtId="49" xfId="0" applyNumberFormat="1" applyFont="1" applyFill="1" applyBorder="1" applyAlignment="1">
      <alignment horizontal="center"/>
    </xf>
    <xf fontId="53" fillId="0" borderId="0" numFmtId="0" xfId="2" applyFont="1" applyAlignment="1">
      <alignment vertical="top"/>
    </xf>
    <xf fontId="54" fillId="0" borderId="0" numFmtId="0" xfId="2" applyFont="1" applyAlignment="1">
      <alignment vertical="top"/>
    </xf>
    <xf fontId="55" fillId="0" borderId="0" numFmtId="0" xfId="2" applyFont="1" applyAlignment="1">
      <alignment vertical="top"/>
    </xf>
    <xf fontId="56" fillId="0" borderId="0" numFmtId="0" xfId="2" applyFont="1" applyAlignment="1">
      <alignment vertical="top"/>
    </xf>
    <xf fontId="57" fillId="0" borderId="0" numFmtId="0" xfId="2" applyFont="1" applyAlignment="1">
      <alignment horizontal="center" vertical="top" wrapText="1"/>
    </xf>
    <xf fontId="58" fillId="0" borderId="0" numFmtId="0" xfId="2" applyFont="1" applyAlignment="1">
      <alignment horizontal="right" vertical="top"/>
    </xf>
    <xf fontId="3" fillId="21" borderId="1" numFmtId="0" xfId="0" applyFont="1" applyFill="1" applyBorder="1" applyAlignment="1">
      <alignment horizontal="center"/>
    </xf>
    <xf fontId="59" fillId="0" borderId="0" numFmtId="0" xfId="2" applyFont="1" applyAlignment="1">
      <alignment horizontal="center" vertical="top"/>
    </xf>
    <xf fontId="57" fillId="0" borderId="0" numFmtId="0" xfId="2" applyFont="1" applyAlignment="1">
      <alignment horizontal="left" vertical="top"/>
    </xf>
    <xf fontId="49" fillId="0" borderId="1" numFmtId="3" xfId="0" applyNumberFormat="1" applyFont="1" applyBorder="1" applyAlignment="1">
      <alignment horizontal="center" vertical="top"/>
    </xf>
    <xf fontId="49" fillId="0" borderId="1" numFmtId="49" xfId="0" applyNumberFormat="1" applyFont="1" applyBorder="1" applyAlignment="1">
      <alignment horizontal="center" vertical="top"/>
    </xf>
    <xf fontId="49" fillId="0" borderId="1" numFmtId="49" xfId="0" applyNumberFormat="1" applyFont="1" applyBorder="1" applyAlignment="1">
      <alignment horizontal="right" vertical="top"/>
    </xf>
    <xf fontId="60" fillId="0" borderId="0" numFmtId="0" xfId="2" applyFont="1" applyAlignment="1">
      <alignment horizontal="left" vertical="top"/>
    </xf>
    <xf fontId="25" fillId="11" borderId="1" numFmtId="0" xfId="2" applyFont="1" applyFill="1" applyBorder="1" applyAlignment="1">
      <alignment horizontal="center" vertical="center"/>
    </xf>
    <xf fontId="26" fillId="12" borderId="1" numFmtId="0" xfId="2" applyFont="1" applyFill="1" applyBorder="1" applyAlignment="1">
      <alignment horizontal="center" vertical="center"/>
    </xf>
    <xf fontId="30" fillId="10" borderId="1" numFmtId="0" xfId="0" applyFont="1" applyFill="1" applyBorder="1" applyAlignment="1">
      <alignment horizontal="center" vertical="top" wrapText="1"/>
    </xf>
    <xf fontId="28" fillId="0" borderId="0" numFmtId="0" xfId="0" applyFont="1" applyAlignment="1">
      <alignment vertical="top"/>
    </xf>
    <xf fontId="4" fillId="0" borderId="0" numFmtId="0" xfId="2" applyFont="1" applyAlignment="1">
      <alignment vertical="top" wrapText="1"/>
    </xf>
    <xf fontId="61" fillId="0" borderId="0" numFmtId="0" xfId="0" applyFont="1" applyAlignment="1">
      <alignment vertical="top"/>
    </xf>
    <xf fontId="62" fillId="0" borderId="0" numFmtId="0" xfId="0" applyFont="1" applyAlignment="1">
      <alignment horizontal="center" vertical="top" wrapText="1"/>
    </xf>
    <xf fontId="28" fillId="0" borderId="0" numFmtId="0" xfId="0" applyFont="1" applyAlignment="1">
      <alignment vertical="top" wrapText="1"/>
    </xf>
    <xf fontId="29" fillId="0" borderId="0" numFmtId="49" xfId="0" applyNumberFormat="1" applyFont="1" applyAlignment="1">
      <alignment horizontal="left" vertical="top"/>
    </xf>
    <xf fontId="33" fillId="0" borderId="2" numFmtId="0" xfId="0" applyFont="1" applyBorder="1" applyAlignment="1">
      <alignment horizontal="center" vertical="top" wrapText="1"/>
    </xf>
    <xf fontId="33" fillId="0" borderId="6" numFmtId="0" xfId="0" applyFont="1" applyBorder="1" applyAlignment="1">
      <alignment horizontal="center" vertical="top" wrapText="1"/>
    </xf>
    <xf fontId="47" fillId="0" borderId="6" numFmtId="0" xfId="0" applyFont="1" applyBorder="1" applyAlignment="1">
      <alignment horizontal="center" vertical="top" wrapText="1"/>
    </xf>
    <xf fontId="63" fillId="0" borderId="6" numFmtId="0" xfId="0" applyFont="1" applyBorder="1" applyAlignment="1">
      <alignment horizontal="center" vertical="top" wrapText="1"/>
    </xf>
    <xf fontId="33" fillId="0" borderId="1" numFmtId="0" xfId="0" applyFont="1" applyBorder="1" applyAlignment="1">
      <alignment horizontal="center" vertical="top" wrapText="1"/>
    </xf>
    <xf fontId="29" fillId="0" borderId="1" numFmtId="49" xfId="0" applyNumberFormat="1" applyFont="1" applyBorder="1" applyAlignment="1">
      <alignment horizontal="center" vertical="top"/>
    </xf>
    <xf fontId="49" fillId="0" borderId="4" numFmtId="4" xfId="0" applyNumberFormat="1" applyFont="1" applyBorder="1" applyAlignment="1">
      <alignment horizontal="right" vertical="top"/>
    </xf>
    <xf fontId="49" fillId="0" borderId="3" numFmtId="49" xfId="0" applyNumberFormat="1" applyFont="1" applyBorder="1" applyAlignment="1">
      <alignment horizontal="left" vertical="top"/>
    </xf>
    <xf fontId="49" fillId="0" borderId="1" numFmtId="167" xfId="3" applyNumberFormat="1" applyFont="1" applyBorder="1" applyAlignment="1">
      <alignment horizontal="right" vertical="top"/>
    </xf>
    <xf fontId="49" fillId="0" borderId="1" numFmtId="14" xfId="3" applyNumberFormat="1" applyFont="1" applyBorder="1" applyAlignment="1">
      <alignment horizontal="center" vertical="top"/>
    </xf>
    <xf fontId="49" fillId="0" borderId="1" numFmtId="49" xfId="3" applyNumberFormat="1" applyFont="1" applyBorder="1" applyAlignment="1">
      <alignment horizontal="left" vertical="top"/>
    </xf>
    <xf fontId="49" fillId="0" borderId="1" numFmtId="3" xfId="3" applyNumberFormat="1" applyFont="1" applyBorder="1" applyAlignment="1">
      <alignment horizontal="center" vertical="top"/>
    </xf>
    <xf fontId="29" fillId="10" borderId="3" numFmtId="49" xfId="0" applyNumberFormat="1" applyFont="1" applyFill="1" applyBorder="1" applyAlignment="1">
      <alignment horizontal="center" vertical="top" wrapText="1"/>
    </xf>
    <xf fontId="29" fillId="0" borderId="4" numFmtId="4" xfId="0" applyNumberFormat="1" applyFont="1" applyBorder="1" applyAlignment="1">
      <alignment horizontal="right" vertical="top"/>
    </xf>
    <xf fontId="29" fillId="0" borderId="3" numFmtId="49" xfId="0" applyNumberFormat="1" applyFont="1" applyBorder="1" applyAlignment="1">
      <alignment horizontal="left" vertical="top"/>
    </xf>
    <xf fontId="29" fillId="13" borderId="1" numFmtId="167" xfId="3" applyNumberFormat="1" applyFont="1" applyFill="1" applyBorder="1" applyAlignment="1">
      <alignment horizontal="right" vertical="top"/>
    </xf>
    <xf fontId="29" fillId="13" borderId="1" numFmtId="14" xfId="3" applyNumberFormat="1" applyFont="1" applyFill="1" applyBorder="1" applyAlignment="1">
      <alignment horizontal="center" vertical="top"/>
    </xf>
    <xf fontId="29" fillId="13" borderId="1" numFmtId="49" xfId="3" applyNumberFormat="1" applyFont="1" applyFill="1" applyBorder="1" applyAlignment="1">
      <alignment horizontal="left" vertical="top"/>
    </xf>
    <xf fontId="29" fillId="13" borderId="1" numFmtId="49" xfId="3" applyNumberFormat="1" applyFont="1" applyFill="1" applyBorder="1" applyAlignment="1">
      <alignment horizontal="center" vertical="top"/>
    </xf>
    <xf fontId="11" fillId="0" borderId="0" numFmtId="0" xfId="0" applyFont="1" applyAlignment="1">
      <alignment horizontal="justify" vertical="center"/>
    </xf>
    <xf fontId="33" fillId="0" borderId="0" numFmtId="168" xfId="3" applyNumberFormat="1" applyFont="1" applyAlignment="1">
      <alignment horizontal="center" vertical="top"/>
    </xf>
    <xf fontId="33" fillId="0" borderId="0" numFmtId="164" xfId="3" applyNumberFormat="1" applyFont="1" applyAlignment="1">
      <alignment horizontal="center" vertical="top"/>
    </xf>
  </cellXfs>
  <cellStyles count="5">
    <cellStyle name="Обычный" xfId="0" builtinId="0"/>
    <cellStyle name="Обычный 2" xfId="1"/>
    <cellStyle name="Обычный_Прикидка  сомнительные" xfId="2"/>
    <cellStyle name="Финансовый" xfId="3" builtinId="3"/>
    <cellStyle name="Финансовый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10" Type="http://schemas.openxmlformats.org/officeDocument/2006/relationships/theme" Target="theme/theme1.xml"/><Relationship  Id="rId11" Type="http://schemas.openxmlformats.org/officeDocument/2006/relationships/sharedStrings" Target="sharedStrings.xml"/><Relationship  Id="rId12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worksheet" Target="worksheets/sheet8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"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.140625" defaultRowHeight="12.75" outlineLevelRow="1"/>
  <cols>
    <col customWidth="1" min="1" max="1" width="3.42578125"/>
    <col customWidth="1" min="2" max="2" width="16.7109375"/>
    <col customWidth="1" min="3" max="3" width="30.7109375"/>
    <col customWidth="1" min="4" max="4" width="12.85546875"/>
    <col bestFit="1" customWidth="1" min="6" max="6" width="12.85546875"/>
    <col customWidth="1" min="7" max="7" width="10.140625"/>
    <col bestFit="1" customWidth="1" min="8" max="8" width="10.7109375"/>
    <col bestFit="1" customWidth="1" min="9" max="9" width="19.5703125"/>
    <col customWidth="1" min="10" max="10" width="10.140625"/>
    <col customWidth="1" min="11" max="11" width="11.28515625"/>
    <col bestFit="1" customWidth="1" min="12" max="12" width="16.42578125"/>
    <col customWidth="1" min="13" max="13" width="13"/>
    <col customWidth="1" min="17" max="17" width="7.42578125"/>
    <col customWidth="1" min="18" max="18" width="9"/>
    <col customWidth="1" min="19" max="19" width="14.140625"/>
    <col customWidth="1" min="20" max="20" width="14.5703125"/>
    <col customWidth="1" min="21" max="21" width="12"/>
    <col customWidth="1" min="22" max="22" width="13.5703125"/>
    <col customWidth="1" min="23" max="23" width="11.85546875"/>
    <col customWidth="1" min="24" max="26" width="11"/>
    <col customWidth="1" min="27" max="27" width="17.28515625"/>
    <col customWidth="1" min="28" max="28" width="9.42578125"/>
    <col customWidth="1" min="29" max="29" width="9.28515625"/>
    <col customWidth="1" min="31" max="31" width="8.140625"/>
    <col customWidth="1" min="32" max="32" width="7.85546875"/>
    <col customWidth="1" min="33" max="33" width="8.7109375"/>
    <col customWidth="1" min="34" max="34" width="8"/>
    <col customWidth="1" min="36" max="36" width="6.85546875"/>
    <col customWidth="1" min="37" max="37" width="11.140625"/>
    <col customWidth="1" min="38" max="38" width="8.5703125"/>
    <col customWidth="1" min="39" max="39" width="10.28515625"/>
    <col customWidth="1" min="40" max="40" width="7"/>
    <col customWidth="1" min="41" max="41" width="6.140625"/>
    <col customWidth="1" min="42" max="42" width="12.140625"/>
    <col customWidth="1" min="43" max="43" width="10"/>
    <col customWidth="1" min="44" max="44" width="9.140625"/>
    <col customWidth="1" min="45" max="45" width="8.140625"/>
    <col customWidth="1" min="46" max="46" width="7.85546875"/>
    <col customWidth="1" min="47" max="47" width="9.140625"/>
    <col customWidth="1" min="48" max="48" width="7.42578125"/>
    <col customWidth="1" min="49" max="49" width="8.85546875"/>
    <col customWidth="1" min="50" max="50" width="6.42578125"/>
    <col customWidth="1" min="51" max="51" width="12.140625"/>
    <col customWidth="1" min="53" max="53" width="9.5703125"/>
    <col customWidth="1" min="54" max="54" width="6.85546875"/>
    <col customWidth="1" min="55" max="55" width="6.7109375"/>
    <col customWidth="1" min="56" max="56" width="12.5703125"/>
    <col customWidth="1" min="57" max="57" width="9.7109375"/>
    <col customWidth="1" min="60" max="61" width="13.140625"/>
    <col customWidth="1" min="62" max="62" width="8.140625"/>
    <col customWidth="1" min="63" max="64" width="13.140625"/>
    <col customWidth="1" min="65" max="66" width="13.5703125"/>
    <col customWidth="1" min="67" max="67" width="11.42578125"/>
    <col customWidth="1" min="68" max="68" width="9.85546875"/>
    <col customWidth="1" min="69" max="69" width="8.42578125"/>
  </cols>
  <sheetData>
    <row r="1" s="1" customFormat="1">
      <c r="A1" s="2"/>
      <c r="B1" s="3" t="s">
        <v>0</v>
      </c>
      <c r="C1" s="4" t="s">
        <v>1</v>
      </c>
      <c r="D1" s="3" t="s">
        <v>2</v>
      </c>
      <c r="E1" s="5" t="s">
        <v>3</v>
      </c>
      <c r="F1" s="3" t="s">
        <v>4</v>
      </c>
      <c r="G1" s="5" t="s">
        <v>5</v>
      </c>
      <c r="H1" s="3" t="s">
        <v>6</v>
      </c>
      <c r="I1" s="6" t="s">
        <v>7</v>
      </c>
      <c r="J1" s="3" t="s">
        <v>8</v>
      </c>
      <c r="K1" s="5" t="s">
        <v>9</v>
      </c>
      <c r="L1" s="3" t="s">
        <v>10</v>
      </c>
      <c r="M1" s="5" t="s">
        <v>11</v>
      </c>
      <c r="N1" s="3" t="s">
        <v>12</v>
      </c>
      <c r="O1" s="5" t="s">
        <v>13</v>
      </c>
      <c r="Q1" s="7"/>
      <c r="R1" s="8"/>
      <c r="T1" s="7"/>
      <c r="U1" s="9"/>
      <c r="V1" s="9"/>
      <c r="W1" s="9"/>
      <c r="Z1" s="10"/>
      <c r="AA1" s="10"/>
      <c r="AB1" s="7"/>
      <c r="AC1" s="7"/>
      <c r="AE1" s="11"/>
      <c r="AF1" s="11"/>
    </row>
    <row r="2" s="12" customFormat="1" ht="17.25">
      <c r="B2" s="13" t="s">
        <v>14</v>
      </c>
      <c r="D2" s="14"/>
      <c r="E2" s="14"/>
      <c r="F2" s="15"/>
      <c r="G2" s="15"/>
      <c r="H2" s="15"/>
      <c r="I2" s="15"/>
      <c r="J2" s="15"/>
      <c r="K2" s="15"/>
      <c r="L2" s="15"/>
      <c r="M2" s="16"/>
      <c r="N2" s="16"/>
      <c r="O2" s="17"/>
      <c r="P2" s="16"/>
      <c r="Q2" s="17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9"/>
    </row>
    <row r="3" s="12" customFormat="1" ht="15" customHeight="1">
      <c r="B3" s="20" t="s">
        <v>15</v>
      </c>
      <c r="D3" s="14"/>
      <c r="E3" s="14"/>
      <c r="F3" s="21"/>
      <c r="G3" s="21"/>
      <c r="H3" s="15"/>
      <c r="I3" s="15"/>
      <c r="J3" s="15"/>
      <c r="K3" s="15"/>
      <c r="L3" s="15"/>
      <c r="M3" s="16"/>
      <c r="N3" s="16"/>
      <c r="O3" s="17"/>
      <c r="P3" s="16"/>
      <c r="Q3" s="17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9"/>
    </row>
    <row r="4" s="12" customFormat="1" ht="17.25">
      <c r="B4" s="22" t="s">
        <v>16</v>
      </c>
      <c r="C4" s="23"/>
      <c r="D4" s="24"/>
      <c r="E4" s="24"/>
      <c r="F4" s="25"/>
      <c r="G4" s="25"/>
      <c r="H4" s="15"/>
      <c r="I4" s="15"/>
      <c r="J4" s="15"/>
      <c r="K4" s="15"/>
      <c r="L4" s="15"/>
      <c r="M4" s="25"/>
      <c r="N4" s="25"/>
      <c r="O4" s="26"/>
      <c r="P4" s="25"/>
      <c r="Q4" s="26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9"/>
    </row>
    <row r="5" s="12" customFormat="1" ht="19.5" customHeight="1">
      <c r="B5" s="27" t="s">
        <v>17</v>
      </c>
      <c r="C5" s="28" t="s">
        <v>18</v>
      </c>
      <c r="E5" s="29"/>
      <c r="F5" s="30"/>
      <c r="G5" s="30"/>
      <c r="H5" s="15"/>
      <c r="I5" s="15"/>
      <c r="J5" s="15"/>
      <c r="K5" s="15"/>
      <c r="L5" s="15"/>
      <c r="M5" s="27"/>
      <c r="N5" s="27"/>
      <c r="O5" s="31"/>
      <c r="P5" s="27"/>
      <c r="Q5" s="31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9"/>
    </row>
    <row r="6" s="18" customFormat="1">
      <c r="B6" s="32" t="s">
        <v>19</v>
      </c>
      <c r="C6" s="33"/>
      <c r="D6" s="33"/>
      <c r="E6" s="33"/>
      <c r="F6" s="33"/>
      <c r="G6" s="33"/>
      <c r="H6" s="33"/>
      <c r="I6" s="33"/>
      <c r="J6" s="33"/>
      <c r="K6" s="33"/>
      <c r="L6" s="34" t="s">
        <v>20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4" t="s">
        <v>21</v>
      </c>
      <c r="AB6" s="33"/>
      <c r="AC6" s="33"/>
      <c r="AD6" s="33"/>
      <c r="AE6" s="33"/>
      <c r="AF6" s="33"/>
    </row>
    <row r="7" s="35" customFormat="1" ht="15">
      <c r="B7" s="36" t="s">
        <v>22</v>
      </c>
      <c r="G7" s="37">
        <v>0</v>
      </c>
      <c r="H7" s="38" t="s">
        <v>23</v>
      </c>
      <c r="I7" s="38" t="s">
        <v>23</v>
      </c>
      <c r="J7" s="39" t="s">
        <v>23</v>
      </c>
      <c r="K7" s="40">
        <v>0</v>
      </c>
      <c r="L7" s="41">
        <v>0</v>
      </c>
      <c r="M7" s="40">
        <v>0</v>
      </c>
      <c r="N7" s="42" t="s">
        <v>23</v>
      </c>
      <c r="O7" s="43" t="s">
        <v>23</v>
      </c>
      <c r="P7" s="43" t="s">
        <v>23</v>
      </c>
      <c r="Q7" s="38" t="s">
        <v>23</v>
      </c>
      <c r="R7" s="44" t="s">
        <v>23</v>
      </c>
      <c r="S7" s="40">
        <v>0</v>
      </c>
      <c r="T7" s="41">
        <v>0</v>
      </c>
      <c r="U7" s="40">
        <v>0</v>
      </c>
      <c r="V7" s="41">
        <v>0</v>
      </c>
      <c r="W7" s="40">
        <v>0</v>
      </c>
      <c r="X7" s="40">
        <v>0</v>
      </c>
      <c r="Y7" s="40">
        <v>0</v>
      </c>
      <c r="Z7" s="40">
        <v>0</v>
      </c>
      <c r="AA7" s="41">
        <v>0</v>
      </c>
      <c r="AB7" s="45" t="s">
        <v>23</v>
      </c>
      <c r="AC7" s="45" t="s">
        <v>23</v>
      </c>
      <c r="AD7" s="46" t="s">
        <v>23</v>
      </c>
      <c r="AE7" s="47" t="s">
        <v>23</v>
      </c>
      <c r="AF7" s="47" t="s">
        <v>23</v>
      </c>
      <c r="AG7" s="47" t="s">
        <v>23</v>
      </c>
      <c r="AH7" s="48"/>
      <c r="AI7" s="47" t="s">
        <v>23</v>
      </c>
      <c r="AJ7" s="49" t="s">
        <v>23</v>
      </c>
      <c r="AK7" s="50" t="s">
        <v>23</v>
      </c>
      <c r="AL7" s="46" t="s">
        <v>23</v>
      </c>
      <c r="AM7" s="47" t="s">
        <v>23</v>
      </c>
      <c r="AN7" s="51" t="s">
        <v>23</v>
      </c>
      <c r="AO7" s="52" t="s">
        <v>23</v>
      </c>
      <c r="AP7" s="50" t="s">
        <v>23</v>
      </c>
      <c r="AQ7" s="53" t="s">
        <v>23</v>
      </c>
      <c r="AR7" s="46" t="s">
        <v>23</v>
      </c>
      <c r="AS7" s="47" t="s">
        <v>23</v>
      </c>
      <c r="AT7" s="47" t="s">
        <v>23</v>
      </c>
      <c r="AU7" s="47" t="s">
        <v>23</v>
      </c>
      <c r="AV7" s="48"/>
      <c r="AW7" s="47" t="s">
        <v>23</v>
      </c>
      <c r="AX7" s="49" t="s">
        <v>23</v>
      </c>
      <c r="AY7" s="50" t="s">
        <v>23</v>
      </c>
      <c r="AZ7" s="46" t="s">
        <v>23</v>
      </c>
      <c r="BA7" s="47" t="s">
        <v>23</v>
      </c>
      <c r="BB7" s="51" t="s">
        <v>23</v>
      </c>
      <c r="BC7" s="52" t="s">
        <v>23</v>
      </c>
      <c r="BD7" s="50" t="s">
        <v>23</v>
      </c>
      <c r="BE7" s="53" t="s">
        <v>23</v>
      </c>
      <c r="BF7" s="46" t="s">
        <v>23</v>
      </c>
      <c r="BG7" s="46" t="s">
        <v>23</v>
      </c>
      <c r="BH7" s="50" t="s">
        <v>23</v>
      </c>
      <c r="BI7" s="50" t="s">
        <v>23</v>
      </c>
      <c r="BJ7" s="49" t="s">
        <v>23</v>
      </c>
      <c r="BK7" s="53">
        <v>0</v>
      </c>
      <c r="BL7" s="53">
        <v>0</v>
      </c>
      <c r="BM7" s="49" t="s">
        <v>23</v>
      </c>
      <c r="BN7" s="49" t="s">
        <v>23</v>
      </c>
      <c r="BO7" s="54" t="s">
        <v>23</v>
      </c>
      <c r="BP7" s="54" t="s">
        <v>23</v>
      </c>
      <c r="BQ7" s="43" t="s">
        <v>23</v>
      </c>
    </row>
    <row r="8" s="35" customFormat="1" ht="15" customHeight="1" outlineLevel="1">
      <c r="B8" s="55" t="s">
        <v>24</v>
      </c>
      <c r="C8" s="56" t="s">
        <v>25</v>
      </c>
      <c r="D8" s="57" t="s">
        <v>26</v>
      </c>
      <c r="E8" s="58" t="s">
        <v>27</v>
      </c>
    </row>
    <row r="9" s="35" customFormat="1" ht="15" customHeight="1" outlineLevel="1"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</row>
    <row r="10" s="35" customFormat="1" ht="21" customHeight="1">
      <c r="B10" s="60" t="s">
        <v>28</v>
      </c>
      <c r="C10" s="60"/>
      <c r="D10" s="61" t="s">
        <v>29</v>
      </c>
      <c r="E10" s="62"/>
    </row>
    <row r="11" s="63" customFormat="1">
      <c r="B11" s="64" t="s">
        <v>30</v>
      </c>
      <c r="C11" s="64" t="s">
        <v>31</v>
      </c>
      <c r="D11" s="64" t="s">
        <v>32</v>
      </c>
      <c r="E11" s="64" t="s">
        <v>33</v>
      </c>
      <c r="F11" s="64" t="s">
        <v>34</v>
      </c>
      <c r="G11" s="64" t="s">
        <v>35</v>
      </c>
      <c r="H11" s="64" t="s">
        <v>36</v>
      </c>
      <c r="I11" s="64" t="s">
        <v>37</v>
      </c>
      <c r="J11" s="64" t="s">
        <v>38</v>
      </c>
      <c r="K11" s="65" t="s">
        <v>39</v>
      </c>
      <c r="L11" s="66"/>
      <c r="M11" s="64" t="s">
        <v>40</v>
      </c>
      <c r="N11" s="64" t="s">
        <v>41</v>
      </c>
      <c r="O11" s="64" t="s">
        <v>42</v>
      </c>
      <c r="P11" s="64" t="s">
        <v>43</v>
      </c>
      <c r="Q11" s="64" t="s">
        <v>44</v>
      </c>
      <c r="R11" s="64" t="s">
        <v>45</v>
      </c>
      <c r="S11" s="65" t="s">
        <v>46</v>
      </c>
      <c r="T11" s="66"/>
      <c r="U11" s="64" t="s">
        <v>47</v>
      </c>
      <c r="V11" s="64" t="s">
        <v>48</v>
      </c>
      <c r="W11" s="65" t="s">
        <v>49</v>
      </c>
      <c r="X11" s="66"/>
      <c r="Y11" s="65" t="s">
        <v>50</v>
      </c>
      <c r="Z11" s="66"/>
      <c r="AA11" s="64" t="s">
        <v>51</v>
      </c>
      <c r="AB11" s="65" t="s">
        <v>52</v>
      </c>
      <c r="AC11" s="66"/>
      <c r="AD11" s="64" t="s">
        <v>53</v>
      </c>
      <c r="AE11" s="64" t="s">
        <v>54</v>
      </c>
      <c r="AF11" s="64" t="s">
        <v>55</v>
      </c>
      <c r="AG11" s="64" t="s">
        <v>56</v>
      </c>
      <c r="AH11" s="64" t="s">
        <v>57</v>
      </c>
      <c r="AI11" s="67" t="s">
        <v>58</v>
      </c>
      <c r="AJ11" s="68"/>
      <c r="AK11" s="68"/>
      <c r="AL11" s="68"/>
      <c r="AM11" s="69"/>
      <c r="AN11" s="64" t="s">
        <v>59</v>
      </c>
      <c r="AO11" s="65" t="s">
        <v>60</v>
      </c>
      <c r="AP11" s="66"/>
      <c r="AQ11" s="64" t="s">
        <v>61</v>
      </c>
      <c r="AR11" s="64" t="s">
        <v>53</v>
      </c>
      <c r="AS11" s="64" t="s">
        <v>62</v>
      </c>
      <c r="AT11" s="64" t="s">
        <v>55</v>
      </c>
      <c r="AU11" s="64" t="s">
        <v>56</v>
      </c>
      <c r="AV11" s="64" t="s">
        <v>57</v>
      </c>
      <c r="AW11" s="67" t="s">
        <v>63</v>
      </c>
      <c r="AX11" s="68"/>
      <c r="AY11" s="68"/>
      <c r="AZ11" s="68"/>
      <c r="BA11" s="69"/>
      <c r="BB11" s="64" t="s">
        <v>59</v>
      </c>
      <c r="BC11" s="65" t="s">
        <v>60</v>
      </c>
      <c r="BD11" s="66"/>
      <c r="BE11" s="64" t="s">
        <v>64</v>
      </c>
      <c r="BF11" s="65" t="s">
        <v>65</v>
      </c>
      <c r="BG11" s="66"/>
      <c r="BH11" s="64" t="s">
        <v>66</v>
      </c>
      <c r="BI11" s="64" t="s">
        <v>67</v>
      </c>
      <c r="BJ11" s="64" t="s">
        <v>68</v>
      </c>
      <c r="BK11" s="64" t="s">
        <v>69</v>
      </c>
      <c r="BL11" s="64" t="s">
        <v>70</v>
      </c>
      <c r="BM11" s="64" t="s">
        <v>71</v>
      </c>
      <c r="BN11" s="64" t="s">
        <v>72</v>
      </c>
      <c r="BO11" s="64" t="s">
        <v>73</v>
      </c>
      <c r="BP11" s="64" t="s">
        <v>74</v>
      </c>
      <c r="BQ11" s="64" t="s">
        <v>75</v>
      </c>
      <c r="BR11" s="70"/>
    </row>
    <row r="12" s="63" customFormat="1" ht="31.5">
      <c r="B12" s="71"/>
      <c r="C12" s="71"/>
      <c r="D12" s="71"/>
      <c r="E12" s="71"/>
      <c r="F12" s="71"/>
      <c r="G12" s="71"/>
      <c r="H12" s="71"/>
      <c r="I12" s="71"/>
      <c r="J12" s="71"/>
      <c r="K12" s="72" t="s">
        <v>76</v>
      </c>
      <c r="L12" s="72" t="s">
        <v>77</v>
      </c>
      <c r="M12" s="71"/>
      <c r="N12" s="71"/>
      <c r="O12" s="71"/>
      <c r="P12" s="71"/>
      <c r="Q12" s="71"/>
      <c r="R12" s="71"/>
      <c r="S12" s="72" t="s">
        <v>76</v>
      </c>
      <c r="T12" s="72" t="s">
        <v>77</v>
      </c>
      <c r="U12" s="71"/>
      <c r="V12" s="71"/>
      <c r="W12" s="72" t="s">
        <v>78</v>
      </c>
      <c r="X12" s="72" t="s">
        <v>79</v>
      </c>
      <c r="Y12" s="72" t="s">
        <v>78</v>
      </c>
      <c r="Z12" s="72" t="s">
        <v>79</v>
      </c>
      <c r="AA12" s="71"/>
      <c r="AB12" s="72" t="s">
        <v>80</v>
      </c>
      <c r="AC12" s="72" t="s">
        <v>81</v>
      </c>
      <c r="AD12" s="71"/>
      <c r="AE12" s="71"/>
      <c r="AF12" s="71"/>
      <c r="AG12" s="71"/>
      <c r="AH12" s="71"/>
      <c r="AI12" s="72" t="s">
        <v>82</v>
      </c>
      <c r="AJ12" s="72" t="s">
        <v>83</v>
      </c>
      <c r="AK12" s="72" t="s">
        <v>84</v>
      </c>
      <c r="AL12" s="72" t="s">
        <v>85</v>
      </c>
      <c r="AM12" s="72" t="s">
        <v>86</v>
      </c>
      <c r="AN12" s="71"/>
      <c r="AO12" s="65" t="s">
        <v>87</v>
      </c>
      <c r="AP12" s="72" t="s">
        <v>88</v>
      </c>
      <c r="AQ12" s="71"/>
      <c r="AR12" s="71"/>
      <c r="AS12" s="71"/>
      <c r="AT12" s="71"/>
      <c r="AU12" s="71"/>
      <c r="AV12" s="71"/>
      <c r="AW12" s="72" t="s">
        <v>82</v>
      </c>
      <c r="AX12" s="72" t="s">
        <v>83</v>
      </c>
      <c r="AY12" s="72" t="s">
        <v>84</v>
      </c>
      <c r="AZ12" s="72" t="s">
        <v>85</v>
      </c>
      <c r="BA12" s="72" t="s">
        <v>86</v>
      </c>
      <c r="BB12" s="71"/>
      <c r="BC12" s="65" t="s">
        <v>87</v>
      </c>
      <c r="BD12" s="72" t="s">
        <v>88</v>
      </c>
      <c r="BE12" s="71"/>
      <c r="BF12" s="72" t="s">
        <v>89</v>
      </c>
      <c r="BG12" s="72" t="s">
        <v>90</v>
      </c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0"/>
    </row>
    <row r="13" s="63" customFormat="1">
      <c r="A13" s="73" t="s">
        <v>25</v>
      </c>
      <c r="B13" s="72">
        <v>1</v>
      </c>
      <c r="C13" s="72">
        <v>2</v>
      </c>
      <c r="D13" s="72">
        <v>3</v>
      </c>
      <c r="E13" s="72">
        <v>4</v>
      </c>
      <c r="F13" s="72">
        <v>5</v>
      </c>
      <c r="G13" s="72">
        <v>6</v>
      </c>
      <c r="H13" s="72">
        <v>7</v>
      </c>
      <c r="I13" s="72">
        <v>8</v>
      </c>
      <c r="J13" s="72">
        <v>9</v>
      </c>
      <c r="K13" s="72">
        <v>10</v>
      </c>
      <c r="L13" s="72">
        <v>11</v>
      </c>
      <c r="M13" s="72">
        <v>12</v>
      </c>
      <c r="N13" s="72">
        <v>13</v>
      </c>
      <c r="O13" s="72">
        <v>14</v>
      </c>
      <c r="P13" s="72">
        <v>15</v>
      </c>
      <c r="Q13" s="72">
        <v>16</v>
      </c>
      <c r="R13" s="72">
        <v>17</v>
      </c>
      <c r="S13" s="72">
        <v>18</v>
      </c>
      <c r="T13" s="72">
        <v>19</v>
      </c>
      <c r="U13" s="72">
        <v>20</v>
      </c>
      <c r="V13" s="72">
        <v>21</v>
      </c>
      <c r="W13" s="72">
        <v>22</v>
      </c>
      <c r="X13" s="72">
        <v>23</v>
      </c>
      <c r="Y13" s="72">
        <v>22.100000000000001</v>
      </c>
      <c r="Z13" s="72">
        <v>23.100000000000001</v>
      </c>
      <c r="AA13" s="72">
        <v>24</v>
      </c>
      <c r="AB13" s="72">
        <v>25</v>
      </c>
      <c r="AC13" s="72">
        <v>26</v>
      </c>
      <c r="AD13" s="72" t="s">
        <v>91</v>
      </c>
      <c r="AE13" s="72" t="s">
        <v>92</v>
      </c>
      <c r="AF13" s="72" t="s">
        <v>93</v>
      </c>
      <c r="AG13" s="72" t="s">
        <v>94</v>
      </c>
      <c r="AH13" s="72" t="s">
        <v>95</v>
      </c>
      <c r="AI13" s="72" t="s">
        <v>96</v>
      </c>
      <c r="AJ13" s="72" t="s">
        <v>97</v>
      </c>
      <c r="AK13" s="72" t="s">
        <v>98</v>
      </c>
      <c r="AL13" s="72" t="s">
        <v>99</v>
      </c>
      <c r="AM13" s="72" t="s">
        <v>100</v>
      </c>
      <c r="AN13" s="72" t="s">
        <v>101</v>
      </c>
      <c r="AO13" s="72" t="s">
        <v>102</v>
      </c>
      <c r="AP13" s="72" t="s">
        <v>103</v>
      </c>
      <c r="AQ13" s="72" t="s">
        <v>104</v>
      </c>
      <c r="AR13" s="74" t="s">
        <v>105</v>
      </c>
      <c r="AS13" s="72" t="s">
        <v>106</v>
      </c>
      <c r="AT13" s="72" t="s">
        <v>107</v>
      </c>
      <c r="AU13" s="72" t="s">
        <v>108</v>
      </c>
      <c r="AV13" s="72" t="s">
        <v>109</v>
      </c>
      <c r="AW13" s="72" t="s">
        <v>110</v>
      </c>
      <c r="AX13" s="72" t="s">
        <v>111</v>
      </c>
      <c r="AY13" s="72" t="s">
        <v>112</v>
      </c>
      <c r="AZ13" s="72" t="s">
        <v>113</v>
      </c>
      <c r="BA13" s="72" t="s">
        <v>114</v>
      </c>
      <c r="BB13" s="72" t="s">
        <v>115</v>
      </c>
      <c r="BC13" s="72" t="s">
        <v>116</v>
      </c>
      <c r="BD13" s="72" t="s">
        <v>117</v>
      </c>
      <c r="BE13" s="72" t="s">
        <v>118</v>
      </c>
      <c r="BF13" s="72" t="s">
        <v>119</v>
      </c>
      <c r="BG13" s="72" t="s">
        <v>120</v>
      </c>
      <c r="BH13" s="72" t="s">
        <v>121</v>
      </c>
      <c r="BI13" s="72" t="s">
        <v>122</v>
      </c>
      <c r="BJ13" s="72" t="s">
        <v>123</v>
      </c>
      <c r="BK13" s="72" t="s">
        <v>124</v>
      </c>
      <c r="BL13" s="72" t="s">
        <v>125</v>
      </c>
      <c r="BM13" s="72" t="s">
        <v>126</v>
      </c>
      <c r="BN13" s="72" t="s">
        <v>127</v>
      </c>
      <c r="BO13" s="72" t="s">
        <v>128</v>
      </c>
      <c r="BP13" s="72" t="s">
        <v>129</v>
      </c>
      <c r="BQ13" s="72" t="s">
        <v>130</v>
      </c>
      <c r="BR13" s="70"/>
    </row>
    <row r="14" s="75" customFormat="1">
      <c r="B14" s="76" t="s">
        <v>131</v>
      </c>
      <c r="C14" s="76" t="s">
        <v>132</v>
      </c>
      <c r="D14" s="76" t="s">
        <v>133</v>
      </c>
      <c r="E14" s="77" t="s">
        <v>134</v>
      </c>
      <c r="F14" s="77" t="s">
        <v>135</v>
      </c>
      <c r="G14" s="78" t="s">
        <v>136</v>
      </c>
      <c r="H14" s="79" t="s">
        <v>137</v>
      </c>
      <c r="I14" s="79" t="s">
        <v>138</v>
      </c>
      <c r="J14" s="80" t="s">
        <v>139</v>
      </c>
      <c r="K14" s="81" t="s">
        <v>140</v>
      </c>
      <c r="L14" s="82" t="s">
        <v>141</v>
      </c>
      <c r="M14" s="81" t="s">
        <v>142</v>
      </c>
      <c r="N14" s="76" t="s">
        <v>143</v>
      </c>
      <c r="O14" s="77" t="s">
        <v>144</v>
      </c>
      <c r="P14" s="77" t="s">
        <v>145</v>
      </c>
      <c r="Q14" s="79" t="s">
        <v>146</v>
      </c>
      <c r="R14" s="83" t="s">
        <v>147</v>
      </c>
      <c r="S14" s="81" t="s">
        <v>148</v>
      </c>
      <c r="T14" s="82" t="s">
        <v>149</v>
      </c>
      <c r="U14" s="81" t="s">
        <v>150</v>
      </c>
      <c r="V14" s="82" t="s">
        <v>151</v>
      </c>
      <c r="W14" s="81" t="s">
        <v>152</v>
      </c>
      <c r="X14" s="81" t="s">
        <v>153</v>
      </c>
      <c r="Y14" s="81" t="s">
        <v>154</v>
      </c>
      <c r="Z14" s="81" t="s">
        <v>155</v>
      </c>
      <c r="AA14" s="82" t="s">
        <v>156</v>
      </c>
      <c r="AB14" s="84" t="s">
        <v>157</v>
      </c>
      <c r="AC14" s="84" t="s">
        <v>158</v>
      </c>
      <c r="AD14" s="85" t="s">
        <v>159</v>
      </c>
      <c r="AE14" s="86" t="s">
        <v>160</v>
      </c>
      <c r="AF14" s="86" t="s">
        <v>161</v>
      </c>
      <c r="AG14" s="86" t="s">
        <v>162</v>
      </c>
      <c r="AH14" s="87" t="s">
        <v>163</v>
      </c>
      <c r="AI14" s="86" t="s">
        <v>164</v>
      </c>
      <c r="AJ14" s="88" t="s">
        <v>165</v>
      </c>
      <c r="AK14" s="89" t="s">
        <v>166</v>
      </c>
      <c r="AL14" s="85" t="s">
        <v>167</v>
      </c>
      <c r="AM14" s="86" t="s">
        <v>168</v>
      </c>
      <c r="AN14" s="90" t="s">
        <v>169</v>
      </c>
      <c r="AO14" s="91" t="s">
        <v>170</v>
      </c>
      <c r="AP14" s="89" t="s">
        <v>171</v>
      </c>
      <c r="AQ14" s="92" t="s">
        <v>172</v>
      </c>
      <c r="AR14" s="85" t="s">
        <v>173</v>
      </c>
      <c r="AS14" s="86" t="s">
        <v>174</v>
      </c>
      <c r="AT14" s="86" t="s">
        <v>175</v>
      </c>
      <c r="AU14" s="86" t="s">
        <v>176</v>
      </c>
      <c r="AV14" s="87" t="s">
        <v>177</v>
      </c>
      <c r="AW14" s="86" t="s">
        <v>178</v>
      </c>
      <c r="AX14" s="88" t="s">
        <v>179</v>
      </c>
      <c r="AY14" s="89" t="s">
        <v>180</v>
      </c>
      <c r="AZ14" s="85" t="s">
        <v>181</v>
      </c>
      <c r="BA14" s="86" t="s">
        <v>182</v>
      </c>
      <c r="BB14" s="90" t="s">
        <v>183</v>
      </c>
      <c r="BC14" s="91" t="s">
        <v>184</v>
      </c>
      <c r="BD14" s="89" t="s">
        <v>185</v>
      </c>
      <c r="BE14" s="92" t="s">
        <v>186</v>
      </c>
      <c r="BF14" s="85" t="s">
        <v>187</v>
      </c>
      <c r="BG14" s="85" t="s">
        <v>188</v>
      </c>
      <c r="BH14" s="89" t="s">
        <v>189</v>
      </c>
      <c r="BI14" s="89" t="s">
        <v>190</v>
      </c>
      <c r="BJ14" s="88" t="s">
        <v>191</v>
      </c>
      <c r="BK14" s="82" t="s">
        <v>192</v>
      </c>
      <c r="BL14" s="82" t="s">
        <v>193</v>
      </c>
      <c r="BM14" s="88" t="s">
        <v>194</v>
      </c>
      <c r="BN14" s="88" t="s">
        <v>195</v>
      </c>
      <c r="BO14" s="93" t="s">
        <v>196</v>
      </c>
      <c r="BP14" s="93" t="s">
        <v>197</v>
      </c>
      <c r="BQ14" s="77" t="s">
        <v>198</v>
      </c>
    </row>
    <row r="15" ht="12.75" customHeight="1">
      <c r="A15" s="56" t="s">
        <v>26</v>
      </c>
      <c r="BA15" s="94"/>
    </row>
    <row r="16">
      <c r="B16" s="95"/>
      <c r="C16" s="95"/>
      <c r="D16" s="95"/>
      <c r="E16" s="95"/>
      <c r="F16" s="95"/>
      <c r="G16" s="95"/>
      <c r="H16" s="95"/>
      <c r="I16" s="95"/>
    </row>
  </sheetData>
  <mergeCells count="52"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L11"/>
    <mergeCell ref="M11:M12"/>
    <mergeCell ref="N11:N12"/>
    <mergeCell ref="O11:O12"/>
    <mergeCell ref="P11:P12"/>
    <mergeCell ref="Q11:Q12"/>
    <mergeCell ref="R11:R12"/>
    <mergeCell ref="S11:T11"/>
    <mergeCell ref="U11:U12"/>
    <mergeCell ref="V11:V12"/>
    <mergeCell ref="W11:X11"/>
    <mergeCell ref="Y11:Z11"/>
    <mergeCell ref="AA11:AA12"/>
    <mergeCell ref="AB11:AC11"/>
    <mergeCell ref="AD11:AD12"/>
    <mergeCell ref="AE11:AE12"/>
    <mergeCell ref="AF11:AF12"/>
    <mergeCell ref="AG11:AG12"/>
    <mergeCell ref="AH11:AH12"/>
    <mergeCell ref="AI11:AM11"/>
    <mergeCell ref="AN11:AN12"/>
    <mergeCell ref="AO11:AP11"/>
    <mergeCell ref="AQ11:AQ12"/>
    <mergeCell ref="AR11:AR12"/>
    <mergeCell ref="AS11:AS12"/>
    <mergeCell ref="AT11:AT12"/>
    <mergeCell ref="AU11:AU12"/>
    <mergeCell ref="AV11:AV12"/>
    <mergeCell ref="AW11:BA11"/>
    <mergeCell ref="BB11:BB12"/>
    <mergeCell ref="BC11:BD11"/>
    <mergeCell ref="BE11:BE12"/>
    <mergeCell ref="BF11:BG11"/>
    <mergeCell ref="BH11:BH12"/>
    <mergeCell ref="BI11:BI12"/>
    <mergeCell ref="BJ11:BJ12"/>
    <mergeCell ref="BK11:BK12"/>
    <mergeCell ref="BL11:BL12"/>
    <mergeCell ref="BM11:BM12"/>
    <mergeCell ref="BN11:BN12"/>
    <mergeCell ref="BO11:BO12"/>
    <mergeCell ref="BP11:BP12"/>
    <mergeCell ref="BQ11:BQ12"/>
  </mergeCells>
  <printOptions headings="0" gridLines="0"/>
  <pageMargins left="0.25" right="0.25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2" operator="beginsWith" text="DU_" id="{006100EF-00DF-4155-8C19-00F50087004F}">
            <xm:f>LEFT(D14,LEN("DU_"))="DU_"</xm:f>
            <x14:dxf>
              <fill>
                <patternFill patternType="solid">
                  <fgColor theme="4" tint="0.59996337778862885"/>
                  <bgColor theme="4" tint="0.59996337778862885"/>
                </patternFill>
              </fill>
            </x14:dxf>
          </x14:cfRule>
          <xm:sqref>D14:D65534</xm:sqref>
        </x14:conditionalFormatting>
        <x14:conditionalFormatting xmlns:xm="http://schemas.microsoft.com/office/excel/2006/main">
          <x14:cfRule type="beginsWith" priority="1" operator="beginsWith" text="ARNU_DU" id="{00E800A6-009E-4609-BA62-00A300FD0018}">
            <xm:f>LEFT(N14,LEN("ARNU_DU"))="ARNU_DU"</xm:f>
            <x14:dxf>
              <fill>
                <patternFill patternType="solid">
                  <fgColor theme="4" tint="0.59996337778862885"/>
                  <bgColor theme="4" tint="0.59996337778862885"/>
                </patternFill>
              </fill>
            </x14:dxf>
          </x14:cfRule>
          <xm:sqref>N14:N65534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">
    <outlinePr applyStyles="0" summaryBelow="1" summaryRight="1" showOutlineSymbols="1"/>
    <pageSetUpPr autoPageBreaks="1" fitToPage="0"/>
  </sheetPr>
  <sheetViews>
    <sheetView zoomScale="100" workbookViewId="0">
      <selection activeCell="B9" activeCellId="0" sqref="B9"/>
    </sheetView>
  </sheetViews>
  <sheetFormatPr defaultRowHeight="12.75"/>
  <cols>
    <col customWidth="1" min="1" max="1" width="6.5703125"/>
    <col customWidth="1" min="2" max="2" width="6.42578125"/>
    <col customWidth="1" min="3" max="3" width="7.85546875"/>
    <col customWidth="1" min="4" max="4" width="17.85546875"/>
    <col customWidth="1" min="5" max="5" width="18.85546875"/>
    <col customWidth="1" min="6" max="6" width="13.28515625"/>
    <col customWidth="1" min="7" max="7" width="14.5703125"/>
    <col customWidth="1" min="8" max="8" width="15.28515625"/>
    <col bestFit="1" customWidth="1" min="9" max="10" width="17"/>
    <col customWidth="1" min="11" max="11" width="5.42578125"/>
    <col customWidth="1" min="12" max="12" width="17.42578125"/>
    <col customWidth="1" min="13" max="13" width="19"/>
    <col customWidth="1" min="14" max="14" width="18.7109375"/>
    <col customWidth="1" min="15" max="15" width="19.7109375"/>
    <col customWidth="1" min="16" max="16" width="19"/>
    <col customWidth="1" min="17" max="17" width="11.85546875"/>
  </cols>
  <sheetData>
    <row r="1" ht="13.5">
      <c r="A1" s="96" t="s">
        <v>199</v>
      </c>
      <c r="C1" s="97" t="s">
        <v>200</v>
      </c>
      <c r="D1" s="98"/>
      <c r="E1" s="99"/>
      <c r="H1" s="99"/>
      <c r="I1" s="99"/>
      <c r="J1" s="99"/>
      <c r="K1" s="99"/>
      <c r="L1" s="99"/>
      <c r="M1" s="99"/>
      <c r="N1" s="99"/>
      <c r="O1" s="99"/>
      <c r="P1" s="99"/>
    </row>
    <row r="2" ht="13.5">
      <c r="A2" s="96" t="s">
        <v>201</v>
      </c>
      <c r="C2" s="100" t="s">
        <v>202</v>
      </c>
      <c r="D2" s="97" t="s">
        <v>203</v>
      </c>
      <c r="E2" s="99"/>
      <c r="H2" s="99"/>
      <c r="I2" s="99"/>
      <c r="J2" s="99"/>
      <c r="K2" s="99"/>
      <c r="L2" s="99"/>
      <c r="M2" s="99"/>
      <c r="N2" s="99"/>
      <c r="O2" s="99"/>
      <c r="P2" s="99"/>
    </row>
    <row r="3">
      <c r="D3" s="99"/>
      <c r="E3" s="99"/>
      <c r="H3" s="99"/>
      <c r="I3" s="99"/>
      <c r="J3" s="99"/>
      <c r="K3" s="99"/>
      <c r="L3" s="99"/>
      <c r="M3" s="99"/>
      <c r="N3" s="99"/>
      <c r="O3" s="99"/>
      <c r="P3" s="99"/>
    </row>
    <row r="4">
      <c r="D4" s="99"/>
      <c r="E4" s="99"/>
      <c r="H4" s="99"/>
      <c r="I4" s="99"/>
      <c r="J4" s="99"/>
      <c r="K4" s="99"/>
      <c r="L4" s="99"/>
      <c r="M4" s="99"/>
      <c r="N4" s="99"/>
      <c r="O4" s="99"/>
      <c r="P4" s="99"/>
    </row>
    <row r="5">
      <c r="D5" s="99"/>
      <c r="E5" s="99"/>
      <c r="H5" s="99"/>
      <c r="I5" s="99"/>
      <c r="J5" s="99"/>
      <c r="K5" s="99"/>
      <c r="L5" s="99"/>
      <c r="M5" s="99"/>
      <c r="N5" s="99"/>
      <c r="O5" s="99"/>
      <c r="P5" s="99"/>
    </row>
    <row r="6">
      <c r="D6" s="99"/>
      <c r="E6" s="99"/>
      <c r="H6" s="99"/>
      <c r="I6" s="99"/>
      <c r="J6" s="99"/>
      <c r="K6" s="99"/>
      <c r="L6" s="99"/>
      <c r="M6" s="99"/>
      <c r="N6" s="99"/>
      <c r="O6" s="99"/>
      <c r="P6" s="99"/>
    </row>
    <row r="7" s="101" customFormat="1" ht="13.699999999999999" customHeight="1">
      <c r="A7" s="102" t="s">
        <v>204</v>
      </c>
      <c r="B7" s="96"/>
      <c r="C7" s="103"/>
      <c r="D7" s="99"/>
      <c r="E7" s="99"/>
      <c r="F7" s="103"/>
      <c r="G7" s="103"/>
      <c r="H7" s="99"/>
      <c r="I7" s="99"/>
      <c r="J7" s="99"/>
      <c r="K7" s="99"/>
      <c r="L7" s="99"/>
      <c r="M7" s="99"/>
      <c r="N7" s="99"/>
      <c r="O7" s="99"/>
      <c r="P7" s="99"/>
      <c r="R7" s="103"/>
      <c r="S7" s="103"/>
      <c r="T7" s="103"/>
      <c r="U7" s="103"/>
      <c r="V7" s="104"/>
      <c r="W7" s="103"/>
      <c r="X7" s="104"/>
    </row>
    <row r="8" s="105" customFormat="1" ht="13.5">
      <c r="A8" s="106" t="s">
        <v>205</v>
      </c>
      <c r="B8" s="107" t="s">
        <v>206</v>
      </c>
      <c r="D8" s="99"/>
      <c r="E8" s="99"/>
      <c r="H8" s="99"/>
      <c r="I8" s="99"/>
      <c r="J8" s="99"/>
      <c r="K8" s="99"/>
      <c r="L8" s="99"/>
      <c r="M8" s="99"/>
      <c r="N8" s="99"/>
      <c r="O8" s="99"/>
      <c r="P8" s="99"/>
    </row>
    <row r="9" s="108" customFormat="1" ht="13.5">
      <c r="A9" s="106" t="s">
        <v>8</v>
      </c>
      <c r="B9" s="107" t="s">
        <v>207</v>
      </c>
      <c r="D9" s="99"/>
      <c r="E9" s="99"/>
      <c r="H9" s="99"/>
      <c r="I9" s="99"/>
      <c r="J9" s="99"/>
      <c r="K9" s="99"/>
      <c r="L9" s="99"/>
      <c r="M9" s="99"/>
      <c r="N9" s="99"/>
      <c r="O9" s="99"/>
      <c r="P9" s="99"/>
    </row>
    <row r="10" s="109" customFormat="1">
      <c r="A10" s="110"/>
      <c r="B10" s="111"/>
      <c r="C10" s="108"/>
      <c r="D10" s="99"/>
      <c r="E10" s="99"/>
      <c r="F10" s="108"/>
      <c r="G10" s="108"/>
      <c r="H10" s="99"/>
      <c r="I10" s="99"/>
      <c r="J10" s="99"/>
      <c r="K10" s="99"/>
      <c r="L10" s="99"/>
      <c r="M10" s="99"/>
      <c r="N10" s="99"/>
      <c r="O10" s="99"/>
      <c r="P10" s="99"/>
      <c r="R10" s="112"/>
      <c r="S10" s="112"/>
      <c r="T10" s="112"/>
      <c r="U10" s="112"/>
      <c r="V10" s="113"/>
      <c r="W10" s="112"/>
      <c r="X10" s="113"/>
    </row>
    <row r="11" s="109" customFormat="1">
      <c r="B11" s="114"/>
      <c r="C11" s="108"/>
      <c r="D11" s="99"/>
      <c r="E11" s="99"/>
      <c r="F11" s="108"/>
      <c r="G11" s="108"/>
      <c r="H11" s="99"/>
      <c r="I11" s="99"/>
      <c r="J11" s="99"/>
      <c r="K11" s="99"/>
      <c r="L11" s="99"/>
      <c r="M11" s="99"/>
      <c r="N11" s="99"/>
      <c r="O11" s="99"/>
      <c r="P11" s="99"/>
      <c r="R11" s="112"/>
      <c r="S11" s="112"/>
      <c r="T11" s="112"/>
      <c r="U11" s="112"/>
      <c r="V11" s="113"/>
      <c r="W11" s="112"/>
      <c r="X11" s="113"/>
    </row>
    <row r="12" s="109" customFormat="1">
      <c r="A12" s="115" t="s">
        <v>208</v>
      </c>
      <c r="B12" s="114"/>
      <c r="C12" s="108"/>
      <c r="D12" s="99"/>
      <c r="E12" s="99"/>
      <c r="F12" s="108"/>
      <c r="G12" s="108"/>
      <c r="H12" s="99"/>
      <c r="I12" s="99"/>
      <c r="J12" s="99"/>
      <c r="K12" s="99"/>
      <c r="L12" s="99"/>
      <c r="M12" s="99"/>
      <c r="N12" s="99"/>
      <c r="O12" s="99"/>
      <c r="P12" s="99"/>
      <c r="R12" s="112"/>
      <c r="S12" s="112"/>
      <c r="T12" s="112"/>
      <c r="U12" s="112"/>
      <c r="V12" s="113"/>
      <c r="W12" s="112"/>
      <c r="X12" s="113"/>
    </row>
    <row r="13" s="109" customFormat="1">
      <c r="A13" s="102" t="s">
        <v>209</v>
      </c>
      <c r="B13" s="114"/>
      <c r="C13" s="108"/>
      <c r="D13" s="99"/>
      <c r="E13" s="99"/>
      <c r="F13" s="108"/>
      <c r="G13" s="108"/>
      <c r="H13" s="99"/>
      <c r="I13" s="99"/>
      <c r="J13" s="99"/>
      <c r="K13" s="99"/>
      <c r="L13" s="99"/>
      <c r="M13" s="99"/>
      <c r="N13" s="99"/>
      <c r="O13" s="99"/>
      <c r="P13" s="99"/>
      <c r="R13" s="112"/>
      <c r="S13" s="112"/>
      <c r="T13" s="112"/>
      <c r="U13" s="112"/>
      <c r="V13" s="113"/>
      <c r="W13" s="112"/>
      <c r="X13" s="113"/>
    </row>
    <row r="14" s="70" customFormat="1">
      <c r="B14" s="116"/>
      <c r="C14" s="112"/>
      <c r="D14" s="99"/>
      <c r="E14" s="99"/>
      <c r="F14" s="112"/>
      <c r="G14" s="117"/>
      <c r="H14" s="99"/>
      <c r="I14" s="99"/>
      <c r="J14" s="99"/>
      <c r="K14" s="99"/>
      <c r="L14" s="99"/>
      <c r="M14" s="99"/>
      <c r="N14" s="99"/>
      <c r="O14" s="99"/>
      <c r="P14" s="99"/>
      <c r="Q14" s="109"/>
      <c r="R14" s="113"/>
      <c r="S14" s="113"/>
      <c r="T14" s="113"/>
      <c r="U14" s="113"/>
      <c r="V14" s="109"/>
      <c r="W14" s="109"/>
      <c r="X14" s="109"/>
    </row>
    <row r="15" s="70" customFormat="1">
      <c r="A15" s="96" t="s">
        <v>17</v>
      </c>
      <c r="B15" s="116"/>
      <c r="C15" s="112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109"/>
      <c r="R15" s="113"/>
      <c r="S15" s="113"/>
      <c r="T15" s="113"/>
      <c r="U15" s="113"/>
      <c r="V15" s="109"/>
      <c r="W15" s="109"/>
      <c r="X15" s="109"/>
    </row>
    <row r="16" s="95" customFormat="1" ht="13.5">
      <c r="A16" s="96" t="s">
        <v>210</v>
      </c>
      <c r="B16" s="118" t="s">
        <v>211</v>
      </c>
      <c r="C16" s="11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S16" s="120"/>
      <c r="T16" s="120"/>
      <c r="U16" s="120"/>
      <c r="V16" s="120"/>
      <c r="W16" s="121"/>
      <c r="X16" s="121"/>
    </row>
    <row r="17" s="95" customFormat="1" ht="13.5">
      <c r="A17" s="96" t="s">
        <v>212</v>
      </c>
      <c r="B17" s="118" t="s">
        <v>213</v>
      </c>
      <c r="C17" s="70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S17" s="120"/>
      <c r="T17" s="120"/>
      <c r="U17" s="120"/>
      <c r="V17" s="120"/>
      <c r="W17" s="121"/>
      <c r="X17" s="121"/>
    </row>
    <row r="18" s="95" customFormat="1" ht="13.5">
      <c r="A18" s="106" t="s">
        <v>214</v>
      </c>
      <c r="B18" s="122"/>
      <c r="D18" s="123" t="s">
        <v>215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S18" s="120"/>
      <c r="T18" s="120"/>
      <c r="U18" s="120"/>
      <c r="V18" s="120"/>
      <c r="W18" s="121"/>
      <c r="X18" s="121"/>
    </row>
    <row r="19" s="70" customFormat="1" ht="13.5">
      <c r="A19" s="106" t="s">
        <v>216</v>
      </c>
      <c r="B19" s="124"/>
      <c r="C19" s="112"/>
      <c r="D19" s="123" t="s">
        <v>217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109"/>
      <c r="R19" s="113"/>
      <c r="S19" s="113"/>
      <c r="T19" s="113"/>
      <c r="U19" s="113"/>
      <c r="V19" s="109"/>
      <c r="W19" s="109"/>
      <c r="X19" s="109"/>
    </row>
    <row r="20" s="70" customFormat="1"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109"/>
      <c r="R20" s="113"/>
      <c r="S20" s="113"/>
      <c r="T20" s="113"/>
      <c r="U20" s="113"/>
      <c r="V20" s="109"/>
      <c r="W20" s="109"/>
      <c r="X20" s="109"/>
    </row>
    <row r="21" ht="13.5">
      <c r="A21" s="100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70"/>
    </row>
    <row r="22" ht="13.5">
      <c r="A22" s="125"/>
      <c r="B22" s="125"/>
      <c r="C22" s="125"/>
      <c r="D22" s="125"/>
      <c r="E22" s="126"/>
      <c r="F22" s="126"/>
      <c r="G22" s="126"/>
      <c r="H22" s="126"/>
      <c r="I22" s="126"/>
      <c r="J22" s="126"/>
      <c r="K22" s="126"/>
      <c r="L22" s="127"/>
      <c r="M22" s="126"/>
      <c r="N22" s="126"/>
      <c r="O22" s="126"/>
      <c r="P22" s="126"/>
    </row>
    <row r="23" ht="42.75" customHeight="1">
      <c r="A23" s="128" t="s">
        <v>218</v>
      </c>
      <c r="B23" s="128" t="s">
        <v>68</v>
      </c>
      <c r="C23" s="128" t="s">
        <v>219</v>
      </c>
      <c r="D23" s="128" t="s">
        <v>31</v>
      </c>
      <c r="E23" s="128" t="s">
        <v>220</v>
      </c>
      <c r="F23" s="128" t="s">
        <v>221</v>
      </c>
      <c r="G23" s="128" t="s">
        <v>222</v>
      </c>
      <c r="H23" s="128" t="s">
        <v>223</v>
      </c>
      <c r="I23" s="129" t="s">
        <v>224</v>
      </c>
      <c r="J23" s="129"/>
      <c r="K23" s="129"/>
      <c r="L23" s="128" t="s">
        <v>35</v>
      </c>
      <c r="M23" s="129" t="s">
        <v>225</v>
      </c>
      <c r="N23" s="129" t="s">
        <v>226</v>
      </c>
      <c r="O23" s="129" t="s">
        <v>227</v>
      </c>
      <c r="P23" s="128" t="s">
        <v>228</v>
      </c>
      <c r="Q23" s="128" t="s">
        <v>72</v>
      </c>
    </row>
    <row r="24" ht="53.450000000000003" customHeight="1">
      <c r="A24" s="130"/>
      <c r="B24" s="130"/>
      <c r="C24" s="130"/>
      <c r="D24" s="130"/>
      <c r="E24" s="131"/>
      <c r="F24" s="131"/>
      <c r="G24" s="131"/>
      <c r="H24" s="131"/>
      <c r="I24" s="129" t="s">
        <v>229</v>
      </c>
      <c r="J24" s="129" t="s">
        <v>230</v>
      </c>
      <c r="K24" s="132"/>
      <c r="L24" s="131"/>
      <c r="M24" s="129"/>
      <c r="N24" s="129"/>
      <c r="O24" s="129"/>
      <c r="P24" s="131"/>
      <c r="Q24" s="130"/>
    </row>
    <row r="25" s="133" customFormat="1" ht="23.100000000000001" customHeight="1">
      <c r="A25" s="131"/>
      <c r="B25" s="134"/>
      <c r="C25" s="134"/>
      <c r="D25" s="134"/>
      <c r="E25" s="135" t="s">
        <v>231</v>
      </c>
      <c r="F25" s="135" t="s">
        <v>232</v>
      </c>
      <c r="G25" s="135" t="s">
        <v>233</v>
      </c>
      <c r="H25" s="135" t="s">
        <v>234</v>
      </c>
      <c r="I25" s="136" t="s">
        <v>235</v>
      </c>
      <c r="J25" s="136" t="s">
        <v>235</v>
      </c>
      <c r="K25" s="137"/>
      <c r="L25" s="135" t="s">
        <v>236</v>
      </c>
      <c r="M25" s="136" t="s">
        <v>237</v>
      </c>
      <c r="N25" s="136" t="s">
        <v>238</v>
      </c>
      <c r="O25" s="136" t="s">
        <v>239</v>
      </c>
      <c r="P25" s="135" t="s">
        <v>240</v>
      </c>
      <c r="Q25" s="135"/>
    </row>
    <row r="26">
      <c r="A26" s="131" t="s">
        <v>241</v>
      </c>
      <c r="B26" s="131" t="s">
        <v>242</v>
      </c>
      <c r="C26" s="131" t="s">
        <v>243</v>
      </c>
      <c r="D26" s="131">
        <v>1</v>
      </c>
      <c r="E26" s="131">
        <v>2</v>
      </c>
      <c r="F26" s="131">
        <v>3</v>
      </c>
      <c r="G26" s="131">
        <v>4</v>
      </c>
      <c r="H26" s="131">
        <v>5</v>
      </c>
      <c r="I26" s="131">
        <v>6</v>
      </c>
      <c r="J26" s="131">
        <v>7</v>
      </c>
      <c r="K26" s="131">
        <v>8</v>
      </c>
      <c r="L26" s="131">
        <v>9</v>
      </c>
      <c r="M26" s="131">
        <v>10</v>
      </c>
      <c r="N26" s="131">
        <v>11</v>
      </c>
      <c r="O26" s="129">
        <v>12</v>
      </c>
      <c r="P26" s="129">
        <v>13</v>
      </c>
      <c r="Q26" s="131" t="s">
        <v>244</v>
      </c>
    </row>
    <row r="27" s="125" customFormat="1">
      <c r="A27" s="79" t="s">
        <v>245</v>
      </c>
      <c r="B27" s="79" t="s">
        <v>191</v>
      </c>
      <c r="C27" s="76" t="s">
        <v>131</v>
      </c>
      <c r="D27" s="84" t="s">
        <v>132</v>
      </c>
      <c r="E27" s="138" t="s">
        <v>193</v>
      </c>
      <c r="F27" s="138" t="s">
        <v>150</v>
      </c>
      <c r="G27" s="138" t="s">
        <v>142</v>
      </c>
      <c r="H27" s="138" t="s">
        <v>246</v>
      </c>
      <c r="I27" s="138" t="s">
        <v>192</v>
      </c>
      <c r="J27" s="138" t="s">
        <v>192</v>
      </c>
      <c r="K27" s="81" t="s">
        <v>192</v>
      </c>
      <c r="L27" s="139" t="s">
        <v>136</v>
      </c>
      <c r="M27" s="138" t="s">
        <v>141</v>
      </c>
      <c r="N27" s="138" t="s">
        <v>247</v>
      </c>
      <c r="O27" s="138" t="s">
        <v>140</v>
      </c>
      <c r="P27" s="138" t="s">
        <v>148</v>
      </c>
      <c r="Q27" s="76" t="s">
        <v>195</v>
      </c>
    </row>
    <row r="28" ht="13.5">
      <c r="B28" s="140"/>
      <c r="C28" s="140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</row>
    <row r="29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</row>
  </sheetData>
  <mergeCells count="17">
    <mergeCell ref="Q23:Q24"/>
    <mergeCell ref="O23:O24"/>
    <mergeCell ref="P23:P24"/>
    <mergeCell ref="G23:G24"/>
    <mergeCell ref="H23:H24"/>
    <mergeCell ref="I23:K23"/>
    <mergeCell ref="L23:L24"/>
    <mergeCell ref="M23:M24"/>
    <mergeCell ref="N23:N24"/>
    <mergeCell ref="B16:C16"/>
    <mergeCell ref="B17:C17"/>
    <mergeCell ref="F23:F24"/>
    <mergeCell ref="A23:A25"/>
    <mergeCell ref="E23:E24"/>
    <mergeCell ref="B23:B25"/>
    <mergeCell ref="C23:C25"/>
    <mergeCell ref="D23:D25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3">
    <outlinePr applyStyles="0" summaryBelow="1" summaryRight="1" showOutlineSymbols="1"/>
    <pageSetUpPr autoPageBreaks="1" fitToPage="0"/>
  </sheetPr>
  <sheetViews>
    <sheetView topLeftCell="BW1" zoomScale="100" workbookViewId="0">
      <selection activeCell="H31" activeCellId="0" sqref="H31"/>
    </sheetView>
  </sheetViews>
  <sheetFormatPr defaultRowHeight="12.75"/>
  <cols>
    <col customWidth="1" min="1" max="1" width="6.5703125"/>
    <col customWidth="1" min="2" max="2" width="12.42578125"/>
    <col customWidth="1" min="3" max="3" width="9.42578125"/>
    <col customWidth="1" min="5" max="5" width="9.140625"/>
    <col customWidth="1" min="8" max="8" width="11.28515625"/>
    <col customWidth="1" min="9" max="9" width="11.140625"/>
    <col customWidth="1" min="10" max="10" width="14"/>
    <col customWidth="1" min="11" max="11" width="17.5703125"/>
    <col customWidth="1" min="12" max="12" width="12.5703125"/>
    <col customWidth="1" min="13" max="15" width="15.85546875"/>
    <col customWidth="1" min="16" max="16" width="11"/>
    <col customWidth="1" min="20" max="21" width="12.28515625"/>
    <col customWidth="1" min="22" max="22" width="11.7109375"/>
    <col customWidth="1" min="23" max="23" width="12.7109375"/>
    <col customWidth="1" min="24" max="24" width="12"/>
    <col customWidth="1" min="25" max="25" width="13.5703125"/>
    <col customWidth="1" min="26" max="26" width="14.28515625"/>
    <col customWidth="1" min="27" max="27" width="11.7109375"/>
    <col customWidth="1" min="28" max="30" width="11.85546875"/>
    <col customWidth="1" min="31" max="31" width="16.28515625"/>
    <col customWidth="1" min="32" max="33" width="9.42578125"/>
    <col customWidth="1" min="34" max="35" width="11"/>
    <col customWidth="1" min="36" max="36" width="8.42578125"/>
    <col customWidth="1" min="37" max="37" width="9.140625"/>
    <col customWidth="1" min="38" max="38" width="8.140625"/>
    <col customWidth="1" min="39" max="39" width="14.140625"/>
    <col customWidth="1" min="40" max="40" width="9.28515625"/>
    <col customWidth="1" min="41" max="41" width="6.85546875"/>
    <col customWidth="1" min="42" max="42" width="11"/>
    <col customWidth="1" min="43" max="43" width="8.5703125"/>
    <col customWidth="1" min="44" max="44" width="10.28515625"/>
    <col customWidth="1" min="45" max="45" width="7"/>
    <col customWidth="1" min="46" max="46" width="6.140625"/>
    <col customWidth="1" min="47" max="47" width="12.140625"/>
    <col customWidth="1" min="48" max="48" width="10"/>
    <col customWidth="1" min="50" max="50" width="8.140625"/>
    <col customWidth="1" min="51" max="51" width="12.7109375"/>
    <col customWidth="1" min="52" max="52" width="9"/>
    <col customWidth="1" min="53" max="53" width="6.28515625"/>
    <col customWidth="1" min="54" max="54" width="12.140625"/>
    <col customWidth="1" min="56" max="56" width="9.5703125"/>
    <col customWidth="1" min="57" max="58" width="6.85546875"/>
    <col customWidth="1" min="59" max="59" width="12.5703125"/>
    <col customWidth="1" min="60" max="60" width="9.85546875"/>
    <col customWidth="1" min="61" max="61" width="15.5703125"/>
    <col customWidth="1" min="62" max="62" width="9.7109375"/>
    <col customWidth="1" min="64" max="64" width="10.140625"/>
    <col customWidth="1" min="65" max="65" width="9.5703125"/>
    <col customWidth="1" min="66" max="66" width="9.28515625"/>
    <col customWidth="1" min="67" max="67" width="10.85546875"/>
    <col customWidth="1" min="68" max="68" width="13"/>
    <col customWidth="1" min="69" max="70" width="9.85546875"/>
    <col customWidth="1" min="71" max="71" width="11.28515625"/>
    <col customWidth="1" min="72" max="72" width="11.5703125"/>
    <col customWidth="1" min="73" max="74" width="11.42578125"/>
    <col customWidth="1" min="75" max="75" width="14.140625"/>
    <col customWidth="1" min="76" max="76" width="14"/>
    <col customWidth="1" min="79" max="80" width="13.140625"/>
    <col customWidth="1" min="81" max="81" width="5.85546875"/>
    <col customWidth="1" min="82" max="84" width="14.5703125"/>
    <col customWidth="1" min="85" max="86" width="14"/>
    <col customWidth="1" min="87" max="88" width="15.140625"/>
    <col customWidth="1" min="89" max="89" width="13.140625"/>
    <col customWidth="1" min="90" max="90" width="9.140625"/>
  </cols>
  <sheetData>
    <row r="1" ht="12.75" customHeight="1">
      <c r="A1" s="96" t="s">
        <v>199</v>
      </c>
      <c r="C1" s="142" t="s">
        <v>200</v>
      </c>
      <c r="D1" s="143"/>
      <c r="E1" s="144"/>
    </row>
    <row r="2" ht="12.75" customHeight="1">
      <c r="A2" s="96" t="s">
        <v>201</v>
      </c>
      <c r="C2" s="145" t="s">
        <v>202</v>
      </c>
      <c r="D2" s="145" t="s">
        <v>29</v>
      </c>
      <c r="E2" s="146"/>
      <c r="F2" s="70"/>
    </row>
    <row r="3" ht="12.75" customHeight="1"/>
    <row r="4" ht="12.75" customHeight="1"/>
    <row r="5" ht="12.75" customHeight="1"/>
    <row r="6" ht="12.75" customHeight="1"/>
    <row r="7" s="101" customFormat="1" ht="12.75" customHeight="1">
      <c r="A7" s="102" t="s">
        <v>204</v>
      </c>
      <c r="B7" s="96"/>
      <c r="C7" s="103"/>
      <c r="D7" s="103"/>
      <c r="F7" s="103"/>
      <c r="G7" s="103"/>
      <c r="J7" s="104"/>
      <c r="K7" s="104"/>
      <c r="P7" s="104"/>
      <c r="R7" s="103"/>
      <c r="T7" s="103"/>
      <c r="U7" s="103"/>
      <c r="V7" s="103"/>
      <c r="W7" s="103"/>
      <c r="X7" s="104"/>
      <c r="Y7" s="103"/>
      <c r="Z7" s="104"/>
      <c r="AA7" s="104"/>
    </row>
    <row r="8" s="105" customFormat="1" ht="12.75" customHeight="1">
      <c r="A8" s="106" t="s">
        <v>205</v>
      </c>
      <c r="B8" s="97" t="s">
        <v>206</v>
      </c>
    </row>
    <row r="9" s="108" customFormat="1" ht="12.75" customHeight="1">
      <c r="A9" s="106" t="s">
        <v>8</v>
      </c>
      <c r="B9" s="97" t="s">
        <v>207</v>
      </c>
      <c r="K9" s="147"/>
    </row>
    <row r="10" s="109" customFormat="1" ht="12.75" customHeight="1">
      <c r="A10" s="110" t="s">
        <v>248</v>
      </c>
      <c r="B10" s="111" t="s">
        <v>249</v>
      </c>
      <c r="C10" s="108"/>
      <c r="D10" s="108"/>
      <c r="E10" s="108"/>
      <c r="F10" s="108"/>
      <c r="G10" s="108"/>
      <c r="J10" s="108"/>
      <c r="K10" s="117"/>
      <c r="P10" s="113"/>
      <c r="R10" s="108"/>
      <c r="T10" s="112"/>
      <c r="U10" s="112"/>
      <c r="V10" s="112"/>
      <c r="W10" s="112"/>
      <c r="X10" s="113"/>
      <c r="Y10" s="112"/>
      <c r="Z10" s="113"/>
      <c r="AA10" s="113"/>
    </row>
    <row r="11" s="109" customFormat="1" ht="12.75" customHeight="1">
      <c r="B11" s="114"/>
      <c r="C11" s="108"/>
      <c r="D11" s="108"/>
      <c r="E11" s="108"/>
      <c r="F11" s="108"/>
      <c r="G11" s="108"/>
      <c r="J11" s="108"/>
      <c r="K11" s="117"/>
      <c r="P11" s="113"/>
      <c r="R11" s="108"/>
      <c r="T11" s="112"/>
      <c r="U11" s="112"/>
      <c r="V11" s="112"/>
      <c r="W11" s="112"/>
      <c r="X11" s="113"/>
      <c r="Y11" s="112"/>
      <c r="Z11" s="113"/>
      <c r="AA11" s="113"/>
    </row>
    <row r="12" s="109" customFormat="1" ht="12.75" customHeight="1">
      <c r="A12" s="115" t="s">
        <v>208</v>
      </c>
      <c r="B12" s="114"/>
      <c r="C12" s="108"/>
      <c r="D12" s="108"/>
      <c r="E12" s="108"/>
      <c r="F12" s="108"/>
      <c r="G12" s="108"/>
      <c r="J12" s="108"/>
      <c r="K12" s="117"/>
      <c r="P12" s="113"/>
      <c r="R12" s="108"/>
      <c r="T12" s="112"/>
      <c r="U12" s="112"/>
      <c r="V12" s="112"/>
      <c r="W12" s="112"/>
      <c r="X12" s="113"/>
      <c r="Y12" s="112"/>
      <c r="Z12" s="113"/>
      <c r="AA12" s="113"/>
    </row>
    <row r="13" s="109" customFormat="1" ht="12.75" customHeight="1">
      <c r="A13" s="102" t="s">
        <v>250</v>
      </c>
      <c r="B13" s="114"/>
      <c r="C13" s="108"/>
      <c r="D13" s="108"/>
      <c r="E13" s="108"/>
      <c r="F13" s="108"/>
      <c r="G13" s="108"/>
      <c r="J13" s="108"/>
      <c r="K13" s="117"/>
      <c r="P13" s="113"/>
      <c r="R13" s="108"/>
      <c r="T13" s="112"/>
      <c r="U13" s="112"/>
      <c r="V13" s="112"/>
      <c r="W13" s="112"/>
      <c r="X13" s="113"/>
      <c r="Y13" s="112"/>
      <c r="Z13" s="113"/>
      <c r="AA13" s="113"/>
    </row>
    <row r="14" s="70" customFormat="1" ht="12.75" customHeight="1">
      <c r="B14" s="116"/>
      <c r="C14" s="112"/>
      <c r="D14" s="109"/>
      <c r="E14" s="112"/>
      <c r="F14" s="112"/>
      <c r="G14" s="117"/>
      <c r="H14" s="117"/>
      <c r="I14" s="117"/>
      <c r="J14" s="113"/>
      <c r="K14" s="113"/>
      <c r="L14" s="109"/>
      <c r="M14" s="109"/>
      <c r="N14" s="109"/>
      <c r="O14" s="109"/>
      <c r="P14" s="109"/>
      <c r="Q14" s="109"/>
      <c r="R14" s="117"/>
      <c r="S14" s="109"/>
      <c r="T14" s="113"/>
      <c r="U14" s="113"/>
      <c r="V14" s="113"/>
      <c r="W14" s="113"/>
      <c r="X14" s="109"/>
      <c r="Y14" s="109"/>
      <c r="Z14" s="109"/>
      <c r="AA14" s="109"/>
    </row>
    <row r="15" s="70" customFormat="1" ht="12.75" customHeight="1">
      <c r="A15" s="96" t="s">
        <v>17</v>
      </c>
      <c r="B15" s="116"/>
      <c r="C15" s="112"/>
      <c r="D15" s="109"/>
      <c r="E15" s="112"/>
      <c r="F15" s="112"/>
      <c r="G15" s="117"/>
      <c r="H15" s="117"/>
      <c r="I15" s="117"/>
      <c r="J15" s="113"/>
      <c r="K15" s="113"/>
      <c r="L15" s="109"/>
      <c r="M15" s="109"/>
      <c r="N15" s="109"/>
      <c r="O15" s="109"/>
      <c r="P15" s="109"/>
      <c r="Q15" s="109"/>
      <c r="R15" s="117"/>
      <c r="S15" s="109"/>
      <c r="T15" s="113"/>
      <c r="U15" s="113"/>
      <c r="V15" s="113"/>
      <c r="W15" s="113"/>
      <c r="X15" s="109"/>
      <c r="Y15" s="109"/>
      <c r="Z15" s="109"/>
      <c r="AA15" s="109"/>
    </row>
    <row r="16" s="95" customFormat="1" ht="12.75" customHeight="1">
      <c r="A16" s="96" t="s">
        <v>210</v>
      </c>
      <c r="B16" s="118" t="s">
        <v>211</v>
      </c>
      <c r="C16" s="124"/>
      <c r="D16" s="148"/>
      <c r="E16" s="149"/>
      <c r="F16" s="149"/>
      <c r="G16" s="121"/>
      <c r="H16" s="121"/>
      <c r="I16" s="121"/>
      <c r="J16" s="121"/>
      <c r="K16" s="121"/>
      <c r="L16" s="121"/>
      <c r="P16" s="121"/>
      <c r="R16" s="121"/>
      <c r="U16" s="120"/>
      <c r="V16" s="120"/>
      <c r="W16" s="120"/>
      <c r="X16" s="120"/>
      <c r="Y16" s="121"/>
      <c r="Z16" s="121"/>
      <c r="AA16" s="121"/>
    </row>
    <row r="17" s="95" customFormat="1" ht="12.75" customHeight="1">
      <c r="A17" s="96" t="s">
        <v>212</v>
      </c>
      <c r="B17" s="118" t="s">
        <v>213</v>
      </c>
      <c r="D17" s="120"/>
      <c r="E17" s="120"/>
      <c r="F17" s="120"/>
      <c r="G17" s="150"/>
      <c r="H17" s="150"/>
      <c r="I17" s="150"/>
      <c r="J17" s="150"/>
      <c r="K17" s="150"/>
      <c r="L17" s="151"/>
      <c r="P17" s="121"/>
      <c r="R17" s="150"/>
      <c r="U17" s="120"/>
      <c r="V17" s="120"/>
      <c r="W17" s="120"/>
      <c r="X17" s="120"/>
      <c r="Y17" s="121"/>
      <c r="Z17" s="121"/>
      <c r="AA17" s="121"/>
    </row>
    <row r="18" s="95" customFormat="1" ht="12.75" customHeight="1">
      <c r="A18" s="106" t="s">
        <v>214</v>
      </c>
      <c r="B18" s="122"/>
      <c r="C18" s="152" t="s">
        <v>215</v>
      </c>
      <c r="D18" s="120"/>
      <c r="E18" s="120"/>
      <c r="F18" s="120"/>
      <c r="G18" s="150"/>
      <c r="H18" s="150"/>
      <c r="I18" s="150"/>
      <c r="J18" s="150"/>
      <c r="K18" s="150"/>
      <c r="L18" s="151"/>
      <c r="P18" s="121"/>
      <c r="R18" s="150"/>
      <c r="U18" s="120"/>
      <c r="V18" s="120"/>
      <c r="W18" s="120"/>
      <c r="X18" s="120"/>
      <c r="Y18" s="121"/>
      <c r="Z18" s="121"/>
      <c r="AA18" s="121"/>
    </row>
    <row r="19" s="70" customFormat="1" ht="12.75" customHeight="1">
      <c r="A19" s="106" t="s">
        <v>216</v>
      </c>
      <c r="B19" s="124"/>
      <c r="C19" s="153" t="s">
        <v>217</v>
      </c>
      <c r="D19" s="109"/>
      <c r="E19" s="112"/>
      <c r="F19" s="112"/>
      <c r="G19" s="117"/>
      <c r="H19" s="117"/>
      <c r="I19" s="117"/>
      <c r="J19" s="113"/>
      <c r="K19" s="113"/>
      <c r="L19" s="109"/>
      <c r="M19" s="109"/>
      <c r="N19" s="109"/>
      <c r="O19" s="109"/>
      <c r="P19" s="109"/>
      <c r="Q19" s="109"/>
      <c r="R19" s="117"/>
      <c r="S19" s="109"/>
      <c r="T19" s="113"/>
      <c r="U19" s="113"/>
      <c r="V19" s="113"/>
      <c r="W19" s="113"/>
      <c r="X19" s="109"/>
      <c r="Y19" s="109"/>
      <c r="Z19" s="109"/>
      <c r="AA19" s="109"/>
    </row>
    <row r="20" s="70" customFormat="1" ht="12.75" customHeight="1">
      <c r="A20" s="154" t="s">
        <v>7</v>
      </c>
      <c r="D20" s="109"/>
      <c r="E20" s="112"/>
      <c r="F20" s="112"/>
      <c r="G20" s="117"/>
      <c r="H20" s="117"/>
      <c r="I20" s="117"/>
      <c r="J20" s="113"/>
      <c r="K20" s="113"/>
      <c r="L20" s="109"/>
      <c r="M20" s="109"/>
      <c r="N20" s="109"/>
      <c r="O20" s="109"/>
      <c r="P20" s="109"/>
      <c r="Q20" s="109"/>
      <c r="R20" s="117"/>
      <c r="S20" s="109"/>
      <c r="T20" s="113"/>
      <c r="U20" s="113"/>
      <c r="V20" s="113"/>
      <c r="W20" s="113"/>
      <c r="X20" s="109"/>
      <c r="Y20" s="109"/>
      <c r="Z20" s="109"/>
      <c r="AA20" s="109"/>
    </row>
    <row r="21" s="109" customFormat="1" ht="13.5">
      <c r="A21" s="125"/>
      <c r="B21" s="124"/>
      <c r="C21" s="155"/>
      <c r="D21" s="156"/>
      <c r="F21" s="112"/>
      <c r="H21" s="112"/>
      <c r="I21" s="117"/>
      <c r="P21" s="113"/>
      <c r="Q21" s="112"/>
      <c r="R21" s="112"/>
      <c r="S21" s="112"/>
      <c r="T21" s="113"/>
      <c r="U21" s="113"/>
    </row>
    <row r="22" s="109" customFormat="1" ht="13.5">
      <c r="A22" s="106"/>
      <c r="B22" s="124"/>
      <c r="C22" s="155"/>
      <c r="D22" s="156"/>
      <c r="F22" s="112"/>
      <c r="H22" s="112"/>
      <c r="I22" s="117"/>
      <c r="P22" s="113"/>
      <c r="Q22" s="112"/>
      <c r="R22" s="112"/>
      <c r="S22" s="112"/>
      <c r="T22" s="113"/>
      <c r="U22" s="113"/>
      <c r="W22" s="113"/>
    </row>
    <row r="23" s="109" customFormat="1" ht="13.5">
      <c r="A23" s="157"/>
      <c r="B23" s="158"/>
      <c r="C23" s="159"/>
      <c r="D23" s="160"/>
      <c r="E23" s="126"/>
      <c r="F23" s="127"/>
      <c r="G23" s="161"/>
      <c r="H23" s="126"/>
      <c r="I23" s="126"/>
      <c r="J23" s="126"/>
      <c r="K23" s="126"/>
      <c r="L23" s="126"/>
      <c r="M23" s="126"/>
      <c r="N23" s="126"/>
      <c r="O23" s="126"/>
      <c r="P23" s="126"/>
      <c r="Q23" s="162"/>
      <c r="R23" s="162"/>
      <c r="S23" s="162"/>
      <c r="T23" s="117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61"/>
      <c r="AG23" s="161"/>
      <c r="AH23" s="161"/>
      <c r="AI23" s="161"/>
      <c r="AJ23" s="161"/>
      <c r="AK23" s="161"/>
      <c r="AL23" s="161"/>
      <c r="AM23" s="161"/>
      <c r="AN23" s="161"/>
      <c r="AO23" s="161"/>
      <c r="AP23" s="161"/>
      <c r="AQ23" s="161"/>
      <c r="AR23" s="161"/>
      <c r="AS23" s="161"/>
      <c r="AT23" s="161"/>
      <c r="AU23" s="161"/>
      <c r="AV23" s="161"/>
      <c r="AW23" s="161"/>
      <c r="AX23" s="161"/>
      <c r="AY23" s="161"/>
      <c r="AZ23" s="161"/>
      <c r="BA23" s="161"/>
      <c r="BB23" s="161"/>
      <c r="BC23" s="161"/>
      <c r="BD23" s="161"/>
      <c r="BE23" s="161"/>
      <c r="BF23" s="161"/>
      <c r="BG23" s="161"/>
      <c r="BH23" s="161"/>
      <c r="BI23" s="126"/>
      <c r="BJ23" s="163"/>
      <c r="BK23" s="126"/>
      <c r="BL23" s="126"/>
      <c r="BM23" s="161"/>
      <c r="BN23" s="126"/>
      <c r="BO23" s="126"/>
      <c r="BP23" s="126"/>
      <c r="BQ23" s="161"/>
      <c r="BR23" s="161"/>
      <c r="BS23" s="126"/>
      <c r="BT23" s="126"/>
      <c r="BU23" s="126"/>
      <c r="BV23" s="126"/>
      <c r="BW23" s="161"/>
      <c r="BX23" s="126"/>
      <c r="BY23" s="161"/>
      <c r="BZ23" s="161"/>
      <c r="CA23" s="161"/>
      <c r="CB23" s="161"/>
      <c r="CC23" s="161"/>
      <c r="CD23" s="126"/>
      <c r="CE23" s="126"/>
      <c r="CF23" s="126"/>
      <c r="CG23" s="126"/>
      <c r="CH23" s="126"/>
      <c r="CI23" s="126"/>
      <c r="CJ23" s="126"/>
      <c r="CK23" s="126"/>
      <c r="CL23" s="126"/>
      <c r="CM23" s="164"/>
      <c r="CN23" s="164"/>
      <c r="CO23" s="164"/>
    </row>
    <row r="24" s="70" customFormat="1" ht="76.150000000000006" customHeight="1">
      <c r="A24" s="64" t="s">
        <v>30</v>
      </c>
      <c r="B24" s="64" t="s">
        <v>31</v>
      </c>
      <c r="C24" s="64" t="s">
        <v>251</v>
      </c>
      <c r="D24" s="64" t="s">
        <v>252</v>
      </c>
      <c r="E24" s="64" t="s">
        <v>253</v>
      </c>
      <c r="F24" s="64" t="s">
        <v>35</v>
      </c>
      <c r="G24" s="64" t="s">
        <v>254</v>
      </c>
      <c r="H24" s="64" t="s">
        <v>255</v>
      </c>
      <c r="I24" s="64" t="s">
        <v>256</v>
      </c>
      <c r="J24" s="65" t="s">
        <v>257</v>
      </c>
      <c r="K24" s="165"/>
      <c r="L24" s="64" t="s">
        <v>40</v>
      </c>
      <c r="M24" s="166" t="s">
        <v>258</v>
      </c>
      <c r="N24" s="167"/>
      <c r="O24" s="168"/>
      <c r="P24" s="64" t="s">
        <v>259</v>
      </c>
      <c r="Q24" s="64" t="s">
        <v>41</v>
      </c>
      <c r="R24" s="64" t="s">
        <v>42</v>
      </c>
      <c r="S24" s="64" t="s">
        <v>43</v>
      </c>
      <c r="T24" s="64" t="s">
        <v>260</v>
      </c>
      <c r="U24" s="64" t="s">
        <v>261</v>
      </c>
      <c r="V24" s="64" t="s">
        <v>262</v>
      </c>
      <c r="W24" s="65" t="s">
        <v>263</v>
      </c>
      <c r="X24" s="165"/>
      <c r="Y24" s="65" t="s">
        <v>264</v>
      </c>
      <c r="Z24" s="165"/>
      <c r="AA24" s="65" t="s">
        <v>49</v>
      </c>
      <c r="AB24" s="165"/>
      <c r="AC24" s="65" t="s">
        <v>50</v>
      </c>
      <c r="AD24" s="66"/>
      <c r="AE24" s="64" t="s">
        <v>51</v>
      </c>
      <c r="AF24" s="64" t="s">
        <v>265</v>
      </c>
      <c r="AG24" s="64" t="s">
        <v>266</v>
      </c>
      <c r="AH24" s="65" t="s">
        <v>52</v>
      </c>
      <c r="AI24" s="165"/>
      <c r="AJ24" s="64" t="s">
        <v>267</v>
      </c>
      <c r="AK24" s="64" t="s">
        <v>53</v>
      </c>
      <c r="AL24" s="64" t="s">
        <v>268</v>
      </c>
      <c r="AM24" s="64" t="s">
        <v>269</v>
      </c>
      <c r="AN24" s="67" t="s">
        <v>58</v>
      </c>
      <c r="AO24" s="169"/>
      <c r="AP24" s="169"/>
      <c r="AQ24" s="169"/>
      <c r="AR24" s="165"/>
      <c r="AS24" s="64" t="s">
        <v>59</v>
      </c>
      <c r="AT24" s="65" t="s">
        <v>60</v>
      </c>
      <c r="AU24" s="165"/>
      <c r="AV24" s="64" t="s">
        <v>64</v>
      </c>
      <c r="AW24" s="64" t="s">
        <v>53</v>
      </c>
      <c r="AX24" s="64" t="s">
        <v>268</v>
      </c>
      <c r="AY24" s="64" t="s">
        <v>270</v>
      </c>
      <c r="AZ24" s="67" t="s">
        <v>63</v>
      </c>
      <c r="BA24" s="169"/>
      <c r="BB24" s="169"/>
      <c r="BC24" s="169"/>
      <c r="BD24" s="165"/>
      <c r="BE24" s="64" t="s">
        <v>59</v>
      </c>
      <c r="BF24" s="65" t="s">
        <v>60</v>
      </c>
      <c r="BG24" s="165"/>
      <c r="BH24" s="64" t="s">
        <v>271</v>
      </c>
      <c r="BI24" s="64" t="s">
        <v>47</v>
      </c>
      <c r="BJ24" s="65" t="s">
        <v>272</v>
      </c>
      <c r="BK24" s="169"/>
      <c r="BL24" s="165"/>
      <c r="BM24" s="64" t="s">
        <v>273</v>
      </c>
      <c r="BN24" s="65" t="s">
        <v>274</v>
      </c>
      <c r="BO24" s="165"/>
      <c r="BP24" s="64" t="s">
        <v>275</v>
      </c>
      <c r="BQ24" s="64" t="s">
        <v>276</v>
      </c>
      <c r="BR24" s="64" t="s">
        <v>277</v>
      </c>
      <c r="BS24" s="65" t="s">
        <v>278</v>
      </c>
      <c r="BT24" s="169"/>
      <c r="BU24" s="169"/>
      <c r="BV24" s="165"/>
      <c r="BW24" s="64" t="s">
        <v>279</v>
      </c>
      <c r="BX24" s="64" t="s">
        <v>280</v>
      </c>
      <c r="BY24" s="65" t="s">
        <v>65</v>
      </c>
      <c r="BZ24" s="165"/>
      <c r="CA24" s="64" t="s">
        <v>66</v>
      </c>
      <c r="CB24" s="64" t="s">
        <v>67</v>
      </c>
      <c r="CC24" s="64" t="s">
        <v>68</v>
      </c>
      <c r="CD24" s="65" t="s">
        <v>224</v>
      </c>
      <c r="CE24" s="169"/>
      <c r="CF24" s="165"/>
      <c r="CG24" s="64" t="s">
        <v>281</v>
      </c>
      <c r="CH24" s="64" t="s">
        <v>282</v>
      </c>
      <c r="CI24" s="64" t="s">
        <v>283</v>
      </c>
      <c r="CJ24" s="64" t="s">
        <v>72</v>
      </c>
      <c r="CK24" s="65" t="s">
        <v>284</v>
      </c>
      <c r="CL24" s="170"/>
      <c r="CM24" s="170"/>
      <c r="CN24" s="170"/>
      <c r="CO24" s="66"/>
      <c r="CP24" s="64" t="s">
        <v>73</v>
      </c>
      <c r="CQ24" s="64" t="s">
        <v>74</v>
      </c>
      <c r="CR24" s="72" t="s">
        <v>75</v>
      </c>
    </row>
    <row r="25" s="70" customFormat="1" ht="80.25" customHeight="1">
      <c r="A25" s="134"/>
      <c r="B25" s="134"/>
      <c r="C25" s="134"/>
      <c r="D25" s="134"/>
      <c r="E25" s="134"/>
      <c r="F25" s="134"/>
      <c r="G25" s="134"/>
      <c r="H25" s="134"/>
      <c r="I25" s="134"/>
      <c r="J25" s="72" t="s">
        <v>285</v>
      </c>
      <c r="K25" s="72" t="s">
        <v>286</v>
      </c>
      <c r="L25" s="134"/>
      <c r="M25" s="72" t="s">
        <v>285</v>
      </c>
      <c r="N25" s="72" t="s">
        <v>287</v>
      </c>
      <c r="O25" s="72" t="s">
        <v>288</v>
      </c>
      <c r="P25" s="134"/>
      <c r="Q25" s="134"/>
      <c r="R25" s="134"/>
      <c r="S25" s="134"/>
      <c r="T25" s="134"/>
      <c r="U25" s="134"/>
      <c r="V25" s="134"/>
      <c r="W25" s="72" t="s">
        <v>289</v>
      </c>
      <c r="X25" s="72" t="s">
        <v>290</v>
      </c>
      <c r="Y25" s="72" t="s">
        <v>289</v>
      </c>
      <c r="Z25" s="72" t="s">
        <v>290</v>
      </c>
      <c r="AA25" s="72" t="s">
        <v>78</v>
      </c>
      <c r="AB25" s="72" t="s">
        <v>291</v>
      </c>
      <c r="AC25" s="72" t="s">
        <v>78</v>
      </c>
      <c r="AD25" s="72" t="s">
        <v>79</v>
      </c>
      <c r="AE25" s="134"/>
      <c r="AF25" s="134"/>
      <c r="AG25" s="134"/>
      <c r="AH25" s="72" t="s">
        <v>80</v>
      </c>
      <c r="AI25" s="72" t="s">
        <v>81</v>
      </c>
      <c r="AJ25" s="134"/>
      <c r="AK25" s="134"/>
      <c r="AL25" s="134"/>
      <c r="AM25" s="134"/>
      <c r="AN25" s="72" t="s">
        <v>82</v>
      </c>
      <c r="AO25" s="72" t="s">
        <v>83</v>
      </c>
      <c r="AP25" s="72" t="s">
        <v>84</v>
      </c>
      <c r="AQ25" s="72" t="s">
        <v>85</v>
      </c>
      <c r="AR25" s="72" t="s">
        <v>86</v>
      </c>
      <c r="AS25" s="134"/>
      <c r="AT25" s="65" t="s">
        <v>87</v>
      </c>
      <c r="AU25" s="72" t="s">
        <v>88</v>
      </c>
      <c r="AV25" s="134"/>
      <c r="AW25" s="134"/>
      <c r="AX25" s="134"/>
      <c r="AY25" s="134"/>
      <c r="AZ25" s="72" t="s">
        <v>82</v>
      </c>
      <c r="BA25" s="72" t="s">
        <v>83</v>
      </c>
      <c r="BB25" s="72" t="s">
        <v>84</v>
      </c>
      <c r="BC25" s="72" t="s">
        <v>85</v>
      </c>
      <c r="BD25" s="72" t="s">
        <v>86</v>
      </c>
      <c r="BE25" s="134"/>
      <c r="BF25" s="65" t="s">
        <v>87</v>
      </c>
      <c r="BG25" s="72" t="s">
        <v>88</v>
      </c>
      <c r="BH25" s="134"/>
      <c r="BI25" s="134"/>
      <c r="BJ25" s="72" t="s">
        <v>292</v>
      </c>
      <c r="BK25" s="72" t="s">
        <v>293</v>
      </c>
      <c r="BL25" s="72" t="s">
        <v>294</v>
      </c>
      <c r="BM25" s="134"/>
      <c r="BN25" s="72" t="s">
        <v>295</v>
      </c>
      <c r="BO25" s="72" t="s">
        <v>77</v>
      </c>
      <c r="BP25" s="134"/>
      <c r="BQ25" s="134"/>
      <c r="BR25" s="134"/>
      <c r="BS25" s="72" t="s">
        <v>285</v>
      </c>
      <c r="BT25" s="72" t="s">
        <v>296</v>
      </c>
      <c r="BU25" s="72" t="s">
        <v>297</v>
      </c>
      <c r="BV25" s="72" t="s">
        <v>298</v>
      </c>
      <c r="BW25" s="134"/>
      <c r="BX25" s="134"/>
      <c r="BY25" s="72" t="s">
        <v>89</v>
      </c>
      <c r="BZ25" s="72" t="s">
        <v>90</v>
      </c>
      <c r="CA25" s="134"/>
      <c r="CB25" s="134"/>
      <c r="CC25" s="134"/>
      <c r="CD25" s="72" t="s">
        <v>299</v>
      </c>
      <c r="CE25" s="72" t="s">
        <v>300</v>
      </c>
      <c r="CF25" s="72" t="s">
        <v>301</v>
      </c>
      <c r="CG25" s="71"/>
      <c r="CH25" s="134"/>
      <c r="CI25" s="134"/>
      <c r="CJ25" s="71"/>
      <c r="CK25" s="64" t="s">
        <v>302</v>
      </c>
      <c r="CL25" s="64" t="s">
        <v>303</v>
      </c>
      <c r="CM25" s="64" t="s">
        <v>304</v>
      </c>
      <c r="CN25" s="64" t="s">
        <v>305</v>
      </c>
      <c r="CO25" s="64" t="s">
        <v>306</v>
      </c>
      <c r="CP25" s="71"/>
      <c r="CQ25" s="71"/>
      <c r="CR25" s="72"/>
    </row>
    <row r="26" s="171" customFormat="1">
      <c r="A26" s="72">
        <v>1</v>
      </c>
      <c r="B26" s="72">
        <v>2</v>
      </c>
      <c r="C26" s="72">
        <v>3</v>
      </c>
      <c r="D26" s="72">
        <v>4</v>
      </c>
      <c r="E26" s="72">
        <v>5</v>
      </c>
      <c r="F26" s="72">
        <v>6</v>
      </c>
      <c r="G26" s="72">
        <v>7</v>
      </c>
      <c r="H26" s="72">
        <v>8</v>
      </c>
      <c r="I26" s="72">
        <v>9</v>
      </c>
      <c r="J26" s="72">
        <v>10</v>
      </c>
      <c r="K26" s="72">
        <v>11</v>
      </c>
      <c r="L26" s="72">
        <v>12</v>
      </c>
      <c r="M26" s="72">
        <v>13</v>
      </c>
      <c r="N26" s="172" t="s">
        <v>307</v>
      </c>
      <c r="O26" s="173" t="s">
        <v>308</v>
      </c>
      <c r="P26" s="72">
        <v>14</v>
      </c>
      <c r="Q26" s="72">
        <v>15</v>
      </c>
      <c r="R26" s="72">
        <v>16</v>
      </c>
      <c r="S26" s="72">
        <v>17</v>
      </c>
      <c r="T26" s="72">
        <v>18</v>
      </c>
      <c r="U26" s="72">
        <v>19</v>
      </c>
      <c r="V26" s="72">
        <v>20</v>
      </c>
      <c r="W26" s="72">
        <v>21</v>
      </c>
      <c r="X26" s="72">
        <v>22</v>
      </c>
      <c r="Y26" s="174" t="s">
        <v>309</v>
      </c>
      <c r="Z26" s="174" t="s">
        <v>310</v>
      </c>
      <c r="AA26" s="72">
        <v>23</v>
      </c>
      <c r="AB26" s="72">
        <v>24</v>
      </c>
      <c r="AC26" s="72">
        <v>23.100000000000001</v>
      </c>
      <c r="AD26" s="72">
        <v>24.100000000000001</v>
      </c>
      <c r="AE26" s="72">
        <v>25</v>
      </c>
      <c r="AF26" s="66">
        <v>26</v>
      </c>
      <c r="AG26" s="66">
        <v>27</v>
      </c>
      <c r="AH26" s="66">
        <v>28</v>
      </c>
      <c r="AI26" s="66">
        <v>29</v>
      </c>
      <c r="AJ26" s="74" t="s">
        <v>311</v>
      </c>
      <c r="AK26" s="72" t="s">
        <v>91</v>
      </c>
      <c r="AL26" s="72" t="s">
        <v>92</v>
      </c>
      <c r="AM26" s="72" t="s">
        <v>93</v>
      </c>
      <c r="AN26" s="72" t="s">
        <v>94</v>
      </c>
      <c r="AO26" s="72" t="s">
        <v>95</v>
      </c>
      <c r="AP26" s="72" t="s">
        <v>96</v>
      </c>
      <c r="AQ26" s="72" t="s">
        <v>97</v>
      </c>
      <c r="AR26" s="72" t="s">
        <v>98</v>
      </c>
      <c r="AS26" s="72" t="s">
        <v>99</v>
      </c>
      <c r="AT26" s="72" t="s">
        <v>100</v>
      </c>
      <c r="AU26" s="72" t="s">
        <v>101</v>
      </c>
      <c r="AV26" s="72" t="s">
        <v>102</v>
      </c>
      <c r="AW26" s="74" t="s">
        <v>105</v>
      </c>
      <c r="AX26" s="72" t="s">
        <v>106</v>
      </c>
      <c r="AY26" s="72" t="s">
        <v>107</v>
      </c>
      <c r="AZ26" s="72" t="s">
        <v>108</v>
      </c>
      <c r="BA26" s="72" t="s">
        <v>109</v>
      </c>
      <c r="BB26" s="72" t="s">
        <v>110</v>
      </c>
      <c r="BC26" s="72" t="s">
        <v>111</v>
      </c>
      <c r="BD26" s="72" t="s">
        <v>112</v>
      </c>
      <c r="BE26" s="72" t="s">
        <v>113</v>
      </c>
      <c r="BF26" s="72" t="s">
        <v>114</v>
      </c>
      <c r="BG26" s="72" t="s">
        <v>115</v>
      </c>
      <c r="BH26" s="72" t="s">
        <v>116</v>
      </c>
      <c r="BI26" s="72" t="s">
        <v>117</v>
      </c>
      <c r="BJ26" s="74" t="s">
        <v>312</v>
      </c>
      <c r="BK26" s="72" t="s">
        <v>313</v>
      </c>
      <c r="BL26" s="72" t="s">
        <v>314</v>
      </c>
      <c r="BM26" s="72" t="s">
        <v>315</v>
      </c>
      <c r="BN26" s="72" t="s">
        <v>316</v>
      </c>
      <c r="BO26" s="72" t="s">
        <v>317</v>
      </c>
      <c r="BP26" s="72" t="s">
        <v>318</v>
      </c>
      <c r="BQ26" s="72" t="s">
        <v>319</v>
      </c>
      <c r="BR26" s="72" t="s">
        <v>320</v>
      </c>
      <c r="BS26" s="74" t="s">
        <v>321</v>
      </c>
      <c r="BT26" s="175" t="s">
        <v>322</v>
      </c>
      <c r="BU26" s="175" t="s">
        <v>323</v>
      </c>
      <c r="BV26" s="175" t="s">
        <v>324</v>
      </c>
      <c r="BW26" s="175" t="s">
        <v>325</v>
      </c>
      <c r="BX26" s="175" t="s">
        <v>326</v>
      </c>
      <c r="BY26" s="74" t="s">
        <v>119</v>
      </c>
      <c r="BZ26" s="72" t="s">
        <v>120</v>
      </c>
      <c r="CA26" s="72" t="s">
        <v>121</v>
      </c>
      <c r="CB26" s="72" t="s">
        <v>122</v>
      </c>
      <c r="CC26" s="72" t="s">
        <v>123</v>
      </c>
      <c r="CD26" s="72" t="s">
        <v>124</v>
      </c>
      <c r="CE26" s="72" t="s">
        <v>327</v>
      </c>
      <c r="CF26" s="72" t="s">
        <v>328</v>
      </c>
      <c r="CG26" s="72" t="s">
        <v>125</v>
      </c>
      <c r="CH26" s="72" t="s">
        <v>126</v>
      </c>
      <c r="CI26" s="72" t="s">
        <v>329</v>
      </c>
      <c r="CJ26" s="72" t="s">
        <v>127</v>
      </c>
      <c r="CK26" s="175" t="s">
        <v>330</v>
      </c>
      <c r="CL26" s="175" t="s">
        <v>331</v>
      </c>
      <c r="CM26" s="175" t="s">
        <v>332</v>
      </c>
      <c r="CN26" s="175" t="s">
        <v>333</v>
      </c>
      <c r="CO26" s="175" t="s">
        <v>334</v>
      </c>
      <c r="CP26" s="72" t="s">
        <v>128</v>
      </c>
      <c r="CQ26" s="72" t="s">
        <v>129</v>
      </c>
      <c r="CR26" s="72" t="s">
        <v>335</v>
      </c>
    </row>
    <row r="27" s="176" customFormat="1" ht="12.75" customHeight="1">
      <c r="A27" s="76" t="s">
        <v>131</v>
      </c>
      <c r="B27" s="76" t="s">
        <v>132</v>
      </c>
      <c r="C27" s="76" t="s">
        <v>133</v>
      </c>
      <c r="D27" s="77" t="s">
        <v>134</v>
      </c>
      <c r="E27" s="77" t="s">
        <v>135</v>
      </c>
      <c r="F27" s="78" t="s">
        <v>136</v>
      </c>
      <c r="G27" s="83" t="s">
        <v>336</v>
      </c>
      <c r="H27" s="177" t="s">
        <v>141</v>
      </c>
      <c r="I27" s="81" t="s">
        <v>337</v>
      </c>
      <c r="J27" s="177" t="s">
        <v>338</v>
      </c>
      <c r="K27" s="81" t="s">
        <v>339</v>
      </c>
      <c r="L27" s="81" t="s">
        <v>142</v>
      </c>
      <c r="M27" s="178" t="s">
        <v>340</v>
      </c>
      <c r="N27" s="81" t="s">
        <v>341</v>
      </c>
      <c r="O27" s="81" t="s">
        <v>342</v>
      </c>
      <c r="P27" s="178" t="s">
        <v>343</v>
      </c>
      <c r="Q27" s="76" t="s">
        <v>344</v>
      </c>
      <c r="R27" s="77" t="s">
        <v>144</v>
      </c>
      <c r="S27" s="77" t="s">
        <v>345</v>
      </c>
      <c r="T27" s="83" t="s">
        <v>346</v>
      </c>
      <c r="U27" s="177" t="s">
        <v>149</v>
      </c>
      <c r="V27" s="81" t="s">
        <v>347</v>
      </c>
      <c r="W27" s="177" t="s">
        <v>348</v>
      </c>
      <c r="X27" s="177" t="s">
        <v>349</v>
      </c>
      <c r="Y27" s="177" t="s">
        <v>350</v>
      </c>
      <c r="Z27" s="177" t="s">
        <v>351</v>
      </c>
      <c r="AA27" s="81" t="s">
        <v>152</v>
      </c>
      <c r="AB27" s="81" t="s">
        <v>153</v>
      </c>
      <c r="AC27" s="81" t="s">
        <v>154</v>
      </c>
      <c r="AD27" s="81" t="s">
        <v>155</v>
      </c>
      <c r="AE27" s="177" t="s">
        <v>247</v>
      </c>
      <c r="AF27" s="83" t="s">
        <v>352</v>
      </c>
      <c r="AG27" s="83" t="s">
        <v>353</v>
      </c>
      <c r="AH27" s="76" t="s">
        <v>157</v>
      </c>
      <c r="AI27" s="76" t="s">
        <v>158</v>
      </c>
      <c r="AJ27" s="179" t="s">
        <v>354</v>
      </c>
      <c r="AK27" s="85" t="s">
        <v>355</v>
      </c>
      <c r="AL27" s="180" t="s">
        <v>160</v>
      </c>
      <c r="AM27" s="181" t="s">
        <v>140</v>
      </c>
      <c r="AN27" s="86" t="s">
        <v>164</v>
      </c>
      <c r="AO27" s="90" t="s">
        <v>356</v>
      </c>
      <c r="AP27" s="89" t="s">
        <v>166</v>
      </c>
      <c r="AQ27" s="85" t="s">
        <v>167</v>
      </c>
      <c r="AR27" s="86" t="s">
        <v>168</v>
      </c>
      <c r="AS27" s="90" t="s">
        <v>169</v>
      </c>
      <c r="AT27" s="91" t="s">
        <v>170</v>
      </c>
      <c r="AU27" s="89" t="s">
        <v>171</v>
      </c>
      <c r="AV27" s="181" t="s">
        <v>357</v>
      </c>
      <c r="AW27" s="182" t="s">
        <v>358</v>
      </c>
      <c r="AX27" s="180" t="s">
        <v>174</v>
      </c>
      <c r="AY27" s="181" t="s">
        <v>148</v>
      </c>
      <c r="AZ27" s="86" t="s">
        <v>178</v>
      </c>
      <c r="BA27" s="90" t="s">
        <v>359</v>
      </c>
      <c r="BB27" s="89" t="s">
        <v>180</v>
      </c>
      <c r="BC27" s="85" t="s">
        <v>181</v>
      </c>
      <c r="BD27" s="86" t="s">
        <v>182</v>
      </c>
      <c r="BE27" s="90" t="s">
        <v>360</v>
      </c>
      <c r="BF27" s="91" t="s">
        <v>184</v>
      </c>
      <c r="BG27" s="89" t="s">
        <v>185</v>
      </c>
      <c r="BH27" s="92" t="s">
        <v>361</v>
      </c>
      <c r="BI27" s="92" t="s">
        <v>150</v>
      </c>
      <c r="BJ27" s="92" t="s">
        <v>362</v>
      </c>
      <c r="BK27" s="92" t="s">
        <v>363</v>
      </c>
      <c r="BL27" s="92" t="s">
        <v>364</v>
      </c>
      <c r="BM27" s="91" t="s">
        <v>365</v>
      </c>
      <c r="BN27" s="179" t="s">
        <v>366</v>
      </c>
      <c r="BO27" s="92" t="s">
        <v>367</v>
      </c>
      <c r="BP27" s="92" t="s">
        <v>368</v>
      </c>
      <c r="BQ27" s="85" t="s">
        <v>369</v>
      </c>
      <c r="BR27" s="183" t="s">
        <v>370</v>
      </c>
      <c r="BS27" s="177" t="s">
        <v>371</v>
      </c>
      <c r="BT27" s="92" t="s">
        <v>372</v>
      </c>
      <c r="BU27" s="92" t="s">
        <v>373</v>
      </c>
      <c r="BV27" s="92" t="s">
        <v>374</v>
      </c>
      <c r="BW27" s="184" t="s">
        <v>375</v>
      </c>
      <c r="BX27" s="177" t="s">
        <v>376</v>
      </c>
      <c r="BY27" s="85" t="s">
        <v>187</v>
      </c>
      <c r="BZ27" s="85" t="s">
        <v>188</v>
      </c>
      <c r="CA27" s="89" t="s">
        <v>189</v>
      </c>
      <c r="CB27" s="89" t="s">
        <v>190</v>
      </c>
      <c r="CC27" s="185" t="s">
        <v>191</v>
      </c>
      <c r="CD27" s="177" t="s">
        <v>192</v>
      </c>
      <c r="CE27" s="177" t="s">
        <v>377</v>
      </c>
      <c r="CF27" s="177" t="s">
        <v>378</v>
      </c>
      <c r="CG27" s="177" t="s">
        <v>193</v>
      </c>
      <c r="CH27" s="90" t="s">
        <v>194</v>
      </c>
      <c r="CI27" s="92" t="s">
        <v>379</v>
      </c>
      <c r="CJ27" s="88" t="s">
        <v>195</v>
      </c>
      <c r="CK27" s="92" t="s">
        <v>380</v>
      </c>
      <c r="CL27" s="92" t="s">
        <v>381</v>
      </c>
      <c r="CM27" s="138" t="s">
        <v>382</v>
      </c>
      <c r="CN27" s="138" t="s">
        <v>383</v>
      </c>
      <c r="CO27" s="92" t="s">
        <v>384</v>
      </c>
      <c r="CP27" s="81" t="s">
        <v>196</v>
      </c>
      <c r="CQ27" s="81" t="s">
        <v>197</v>
      </c>
      <c r="CR27" s="77" t="s">
        <v>198</v>
      </c>
    </row>
    <row r="28">
      <c r="A28" s="186"/>
      <c r="B28" s="186"/>
      <c r="C28" s="186"/>
      <c r="D28" s="186"/>
      <c r="E28" s="186"/>
      <c r="F28" s="186"/>
      <c r="G28" s="186"/>
      <c r="H28" s="186"/>
      <c r="I28" s="186"/>
      <c r="J28" s="186"/>
      <c r="K28" s="186"/>
      <c r="L28" s="186"/>
      <c r="M28" s="186"/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</row>
    <row r="29" s="109" customFormat="1" ht="12.75" customHeight="1">
      <c r="A29" s="187" t="s">
        <v>385</v>
      </c>
      <c r="B29" s="96"/>
      <c r="C29" s="96"/>
      <c r="D29" s="96"/>
      <c r="E29" s="96"/>
      <c r="F29" s="96"/>
      <c r="G29" s="96"/>
      <c r="H29" s="96"/>
      <c r="I29" s="125"/>
      <c r="J29" s="125"/>
      <c r="K29" s="125"/>
      <c r="L29" s="125"/>
      <c r="M29" s="125"/>
      <c r="N29" s="125"/>
      <c r="O29" s="125"/>
      <c r="P29" s="125"/>
    </row>
    <row r="30" s="109" customFormat="1" ht="12.75" customHeight="1">
      <c r="A30" s="96" t="s">
        <v>386</v>
      </c>
      <c r="B30" s="96"/>
      <c r="C30" s="96"/>
      <c r="D30" s="96"/>
      <c r="E30" s="96"/>
      <c r="F30" s="96"/>
      <c r="G30" s="96"/>
      <c r="H30" s="96"/>
      <c r="I30" s="125"/>
      <c r="J30" s="125"/>
      <c r="K30" s="125"/>
      <c r="L30" s="125"/>
      <c r="M30" s="125"/>
      <c r="N30" s="125"/>
      <c r="O30" s="125"/>
      <c r="P30" s="125"/>
    </row>
    <row r="31" s="109" customFormat="1" ht="12.75" customHeight="1">
      <c r="A31" s="96"/>
      <c r="B31" s="96"/>
      <c r="C31" s="96"/>
      <c r="D31" s="96"/>
      <c r="E31" s="96"/>
      <c r="F31" s="96"/>
      <c r="G31" s="96"/>
      <c r="H31" s="96"/>
      <c r="I31" s="125"/>
      <c r="J31" s="125"/>
      <c r="K31" s="125"/>
      <c r="L31" s="125"/>
      <c r="M31" s="125"/>
      <c r="N31" s="125"/>
      <c r="O31" s="125"/>
      <c r="P31" s="125"/>
    </row>
    <row r="32" s="125" customFormat="1" ht="13.5">
      <c r="A32" s="188" t="s">
        <v>387</v>
      </c>
      <c r="B32" s="189"/>
      <c r="C32" s="189"/>
      <c r="D32" s="189"/>
      <c r="E32" s="188" t="s">
        <v>388</v>
      </c>
      <c r="F32" s="96"/>
      <c r="G32" s="96"/>
      <c r="H32" s="96"/>
      <c r="AM32" s="101"/>
    </row>
    <row r="33" s="125" customFormat="1" ht="12.75" customHeight="1">
      <c r="A33" s="190"/>
      <c r="B33" s="189"/>
      <c r="C33" s="189"/>
      <c r="D33" s="189" t="s">
        <v>389</v>
      </c>
      <c r="E33" s="96" t="s">
        <v>390</v>
      </c>
      <c r="F33" s="96"/>
      <c r="G33" s="96"/>
      <c r="H33" s="96"/>
      <c r="AK33" s="101"/>
    </row>
    <row r="34" s="125" customFormat="1" ht="12.75" customHeight="1">
      <c r="A34" s="190" t="s">
        <v>23</v>
      </c>
      <c r="B34" s="189"/>
      <c r="C34" s="189"/>
      <c r="D34" s="189"/>
      <c r="E34" s="96"/>
      <c r="F34" s="96"/>
      <c r="G34" s="96"/>
      <c r="H34" s="96"/>
      <c r="AK34" s="101"/>
    </row>
    <row r="35" s="125" customFormat="1" ht="12.75" customHeight="1">
      <c r="A35" s="188" t="s">
        <v>391</v>
      </c>
      <c r="B35" s="189"/>
      <c r="C35" s="189"/>
      <c r="D35" s="191" t="str">
        <f>N2_Операционист</f>
        <v>&lt;Операционист&gt;</v>
      </c>
      <c r="F35" s="96"/>
      <c r="G35" s="192"/>
      <c r="H35" s="96"/>
      <c r="AK35" s="101"/>
    </row>
    <row r="36" s="125" customFormat="1" ht="12.75" customHeight="1">
      <c r="A36" s="190"/>
      <c r="B36" s="189"/>
      <c r="C36" s="189" t="s">
        <v>389</v>
      </c>
      <c r="D36" s="96" t="s">
        <v>390</v>
      </c>
      <c r="E36" s="96"/>
      <c r="F36" s="96"/>
      <c r="G36" s="96"/>
      <c r="H36" s="96"/>
      <c r="AK36" s="101"/>
    </row>
  </sheetData>
  <mergeCells count="67">
    <mergeCell ref="S24:S25"/>
    <mergeCell ref="J24:K24"/>
    <mergeCell ref="L24:L25"/>
    <mergeCell ref="P24:P25"/>
    <mergeCell ref="M24:O24"/>
    <mergeCell ref="G24:G25"/>
    <mergeCell ref="H24:H25"/>
    <mergeCell ref="Q24:Q25"/>
    <mergeCell ref="I24:I25"/>
    <mergeCell ref="R24:R25"/>
    <mergeCell ref="D2:F2"/>
    <mergeCell ref="AM24:AM25"/>
    <mergeCell ref="F24:F25"/>
    <mergeCell ref="CR24:CR25"/>
    <mergeCell ref="CJ24:CJ25"/>
    <mergeCell ref="AN24:AR24"/>
    <mergeCell ref="AS24:AS25"/>
    <mergeCell ref="AE24:AE25"/>
    <mergeCell ref="AF24:AF25"/>
    <mergeCell ref="BF24:BG24"/>
    <mergeCell ref="AJ24:AJ25"/>
    <mergeCell ref="CI24:CI25"/>
    <mergeCell ref="CC24:CC25"/>
    <mergeCell ref="CG24:CG25"/>
    <mergeCell ref="CB24:CB25"/>
    <mergeCell ref="CP24:CP25"/>
    <mergeCell ref="CQ24:CQ25"/>
    <mergeCell ref="CH24:CH25"/>
    <mergeCell ref="CK24:CO24"/>
    <mergeCell ref="C1:D1"/>
    <mergeCell ref="BP24:BP25"/>
    <mergeCell ref="BQ24:BQ25"/>
    <mergeCell ref="BY24:BZ24"/>
    <mergeCell ref="BN24:BO24"/>
    <mergeCell ref="BS24:BV24"/>
    <mergeCell ref="AV24:AV25"/>
    <mergeCell ref="AA24:AB24"/>
    <mergeCell ref="AH24:AI24"/>
    <mergeCell ref="AG24:AG25"/>
    <mergeCell ref="AW24:AW25"/>
    <mergeCell ref="AX24:AX25"/>
    <mergeCell ref="AY24:AY25"/>
    <mergeCell ref="BR24:BR25"/>
    <mergeCell ref="CD24:CF24"/>
    <mergeCell ref="CA24:CA25"/>
    <mergeCell ref="BX24:BX25"/>
    <mergeCell ref="BH24:BH25"/>
    <mergeCell ref="BW24:BW25"/>
    <mergeCell ref="BM24:BM25"/>
    <mergeCell ref="A24:A25"/>
    <mergeCell ref="B24:B25"/>
    <mergeCell ref="C24:C25"/>
    <mergeCell ref="D24:D25"/>
    <mergeCell ref="E24:E25"/>
    <mergeCell ref="T24:T25"/>
    <mergeCell ref="U24:U25"/>
    <mergeCell ref="V24:V25"/>
    <mergeCell ref="BJ24:BL24"/>
    <mergeCell ref="AC24:AD24"/>
    <mergeCell ref="W24:X24"/>
    <mergeCell ref="BE24:BE25"/>
    <mergeCell ref="BI24:BI25"/>
    <mergeCell ref="AT24:AU24"/>
    <mergeCell ref="AZ24:BD24"/>
    <mergeCell ref="Y24:Z24"/>
    <mergeCell ref="AK24:AK25"/>
    <mergeCell ref="AL24:AL2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2" operator="beginsWith" text="DU_" id="{004D006F-008D-4828-A6B2-003F00450001}">
            <xm:f>LEFT(C27,LEN("DU_"))="DU_"</xm:f>
            <x14:dxf>
              <fill>
                <patternFill patternType="solid">
                  <fgColor theme="4" tint="0.59996337778862885"/>
                  <bgColor theme="4" tint="0.59996337778862885"/>
                </patternFill>
              </fill>
            </x14:dxf>
          </x14:cfRule>
          <xm:sqref>C27:C65534</xm:sqref>
        </x14:conditionalFormatting>
        <x14:conditionalFormatting xmlns:xm="http://schemas.microsoft.com/office/excel/2006/main">
          <x14:cfRule type="beginsWith" priority="1" operator="beginsWith" text="ARNU_DU" id="{000400F8-009D-4239-BA5D-002E00BD0017}">
            <xm:f>LEFT(Q27,LEN("ARNU_DU"))="ARNU_DU"</xm:f>
            <x14:dxf>
              <fill>
                <patternFill patternType="solid">
                  <fgColor theme="4" tint="0.59996337778862885"/>
                  <bgColor theme="4" tint="0.59996337778862885"/>
                </patternFill>
              </fill>
            </x14:dxf>
          </x14:cfRule>
          <xm:sqref>Q27:Q65534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4">
    <outlinePr applyStyles="0" summaryBelow="1" summaryRight="1" showOutlineSymbols="1"/>
    <pageSetUpPr autoPageBreaks="1" fitToPage="0"/>
  </sheetPr>
  <sheetViews>
    <sheetView topLeftCell="N1" zoomScale="100" workbookViewId="0">
      <selection activeCell="D18" activeCellId="0" sqref="D18"/>
    </sheetView>
  </sheetViews>
  <sheetFormatPr defaultRowHeight="12.75"/>
  <cols>
    <col customWidth="1" min="1" max="1" width="6.5703125"/>
    <col customWidth="1" min="2" max="2" width="6.42578125"/>
    <col customWidth="1" min="3" max="3" width="7.85546875"/>
    <col customWidth="1" min="4" max="4" width="17.85546875"/>
    <col customWidth="1" min="5" max="5" width="17.42578125"/>
    <col customWidth="1" min="6" max="6" width="13.28515625"/>
    <col customWidth="1" min="7" max="7" width="14.7109375"/>
    <col bestFit="1" customWidth="1" min="8" max="10" width="17"/>
    <col customWidth="1" min="11" max="11" width="14.140625"/>
    <col customWidth="1" min="12" max="12" width="17.42578125"/>
    <col customWidth="1" min="13" max="13" width="17.85546875"/>
    <col customWidth="1" min="14" max="14" width="17"/>
    <col customWidth="1" min="15" max="15" width="19.42578125"/>
    <col customWidth="1" min="16" max="16" width="20.7109375"/>
    <col customWidth="1" min="17" max="18" width="17.85546875"/>
    <col customWidth="1" min="19" max="19" width="19.140625"/>
    <col customWidth="1" min="20" max="20" width="18.42578125"/>
    <col customWidth="1" min="21" max="21" width="18.85546875"/>
    <col customWidth="1" min="22" max="22" width="18.28515625"/>
    <col customWidth="1" min="23" max="23" width="23.5703125"/>
    <col customWidth="1" min="24" max="25" width="17.85546875"/>
    <col customWidth="1" min="26" max="26" width="12.140625"/>
  </cols>
  <sheetData>
    <row r="1">
      <c r="A1" s="96" t="s">
        <v>199</v>
      </c>
      <c r="C1" s="145" t="str">
        <f>N2_ДатаСоставления</f>
        <v>&lt;ДатаСоставления&gt;</v>
      </c>
      <c r="D1" s="193"/>
      <c r="E1" s="99"/>
      <c r="H1" s="99"/>
      <c r="I1" s="99"/>
      <c r="J1" s="99"/>
      <c r="K1" s="99"/>
      <c r="L1" s="99"/>
      <c r="M1" s="99"/>
      <c r="N1" s="99"/>
      <c r="O1" s="99"/>
      <c r="P1" s="99"/>
    </row>
    <row r="2" ht="13.5">
      <c r="A2" s="96" t="s">
        <v>201</v>
      </c>
      <c r="C2" s="100" t="str">
        <f>'0212'!C2</f>
        <v>&lt;НомерОпера&gt;</v>
      </c>
      <c r="D2" s="97" t="str">
        <f>N2_Операционист</f>
        <v>&lt;Операционист&gt;</v>
      </c>
      <c r="E2" s="99"/>
      <c r="H2" s="99"/>
      <c r="I2" s="99"/>
      <c r="J2" s="99"/>
      <c r="K2" s="99"/>
      <c r="L2" s="99"/>
      <c r="M2" s="99"/>
      <c r="N2" s="99"/>
      <c r="O2" s="99"/>
      <c r="P2" s="99"/>
    </row>
    <row r="3">
      <c r="D3" s="99"/>
      <c r="E3" s="99"/>
      <c r="H3" s="99"/>
      <c r="I3" s="99"/>
      <c r="J3" s="99"/>
      <c r="K3" s="99"/>
      <c r="L3" s="99"/>
      <c r="M3" s="99"/>
      <c r="N3" s="99"/>
      <c r="O3" s="99"/>
      <c r="P3" s="99"/>
    </row>
    <row r="4">
      <c r="D4" s="99"/>
      <c r="E4" s="99"/>
      <c r="H4" s="99"/>
      <c r="I4" s="99"/>
      <c r="J4" s="99"/>
      <c r="K4" s="99"/>
      <c r="L4" s="99"/>
      <c r="M4" s="99"/>
      <c r="N4" s="99"/>
      <c r="O4" s="99"/>
      <c r="P4" s="99"/>
    </row>
    <row r="5">
      <c r="D5" s="99"/>
      <c r="E5" s="99"/>
      <c r="H5" s="99"/>
      <c r="I5" s="99"/>
      <c r="J5" s="99"/>
      <c r="K5" s="99"/>
      <c r="L5" s="99"/>
      <c r="M5" s="99"/>
      <c r="N5" s="99"/>
      <c r="O5" s="99"/>
      <c r="P5" s="99"/>
    </row>
    <row r="6">
      <c r="D6" s="99"/>
      <c r="E6" s="99"/>
      <c r="H6" s="99"/>
      <c r="I6" s="99"/>
      <c r="J6" s="99"/>
      <c r="K6" s="99"/>
      <c r="L6" s="99"/>
      <c r="M6" s="99"/>
      <c r="N6" s="99"/>
      <c r="O6" s="99"/>
      <c r="P6" s="99"/>
    </row>
    <row r="7" s="101" customFormat="1" ht="13.699999999999999" customHeight="1">
      <c r="A7" s="102" t="str">
        <f>'0212'!A7</f>
        <v>&lt;H0_A&gt;</v>
      </c>
      <c r="B7" s="96"/>
      <c r="C7" s="103"/>
      <c r="D7" s="99"/>
      <c r="E7" s="99"/>
      <c r="F7" s="103"/>
      <c r="G7" s="103"/>
      <c r="H7" s="99"/>
      <c r="I7" s="99"/>
      <c r="J7" s="99"/>
      <c r="K7" s="99"/>
      <c r="L7" s="99"/>
      <c r="M7" s="99"/>
      <c r="N7" s="99"/>
      <c r="O7" s="99"/>
      <c r="P7" s="99"/>
      <c r="S7" s="103"/>
      <c r="T7" s="103"/>
      <c r="U7" s="103"/>
      <c r="V7" s="103"/>
      <c r="W7" s="104"/>
      <c r="X7" s="103"/>
      <c r="Y7" s="104"/>
    </row>
    <row r="8" s="105" customFormat="1" ht="13.5">
      <c r="A8" s="106" t="s">
        <v>205</v>
      </c>
      <c r="B8" s="107" t="str">
        <f>N2_H0_B_INN</f>
        <v>&lt;H0_B_INN&gt;</v>
      </c>
      <c r="D8" s="99"/>
      <c r="E8" s="99"/>
      <c r="H8" s="99"/>
      <c r="I8" s="99"/>
      <c r="J8" s="99"/>
      <c r="K8" s="99"/>
      <c r="L8" s="99"/>
      <c r="M8" s="99"/>
      <c r="N8" s="99"/>
      <c r="O8" s="99"/>
      <c r="P8" s="99"/>
    </row>
    <row r="9" s="108" customFormat="1" ht="13.5">
      <c r="A9" s="106" t="s">
        <v>8</v>
      </c>
      <c r="B9" s="194" t="str">
        <f>N2_H0_B_KPP</f>
        <v>&lt;H0_B_KPP&gt;</v>
      </c>
      <c r="D9" s="99"/>
      <c r="E9" s="99"/>
      <c r="H9" s="99"/>
      <c r="I9" s="99"/>
      <c r="J9" s="99"/>
      <c r="K9" s="99"/>
      <c r="L9" s="99"/>
      <c r="M9" s="99"/>
      <c r="N9" s="99"/>
      <c r="O9" s="99"/>
      <c r="P9" s="99"/>
    </row>
    <row r="10" s="109" customFormat="1">
      <c r="A10" s="110"/>
      <c r="B10" s="111"/>
      <c r="C10" s="108"/>
      <c r="D10" s="99"/>
      <c r="E10" s="99"/>
      <c r="F10" s="108"/>
      <c r="G10" s="108"/>
      <c r="H10" s="99"/>
      <c r="I10" s="99"/>
      <c r="J10" s="99"/>
      <c r="K10" s="99"/>
      <c r="L10" s="99"/>
      <c r="M10" s="99"/>
      <c r="N10" s="99"/>
      <c r="O10" s="99"/>
      <c r="P10" s="99"/>
      <c r="S10" s="112"/>
      <c r="T10" s="112"/>
      <c r="U10" s="112"/>
      <c r="V10" s="112"/>
      <c r="W10" s="113"/>
      <c r="X10" s="112"/>
      <c r="Y10" s="113"/>
    </row>
    <row r="11" s="109" customFormat="1">
      <c r="B11" s="114"/>
      <c r="C11" s="108"/>
      <c r="D11" s="99"/>
      <c r="E11" s="99"/>
      <c r="F11" s="108"/>
      <c r="G11" s="108"/>
      <c r="H11" s="99"/>
      <c r="I11" s="99"/>
      <c r="J11" s="99"/>
      <c r="K11" s="99"/>
      <c r="L11" s="99"/>
      <c r="M11" s="99"/>
      <c r="N11" s="99"/>
      <c r="O11" s="99"/>
      <c r="P11" s="99"/>
      <c r="S11" s="112"/>
      <c r="T11" s="112"/>
      <c r="U11" s="112"/>
      <c r="V11" s="112"/>
      <c r="W11" s="113"/>
      <c r="X11" s="112"/>
      <c r="Y11" s="113"/>
    </row>
    <row r="12" s="109" customFormat="1">
      <c r="A12" s="115" t="s">
        <v>208</v>
      </c>
      <c r="B12" s="114"/>
      <c r="C12" s="108"/>
      <c r="D12" s="99"/>
      <c r="E12" s="99"/>
      <c r="F12" s="108"/>
      <c r="G12" s="108"/>
      <c r="H12" s="99"/>
      <c r="I12" s="99"/>
      <c r="J12" s="99"/>
      <c r="K12" s="99"/>
      <c r="L12" s="99"/>
      <c r="M12" s="99"/>
      <c r="N12" s="99"/>
      <c r="O12" s="99"/>
      <c r="P12" s="99"/>
      <c r="S12" s="112"/>
      <c r="T12" s="112"/>
      <c r="U12" s="112"/>
      <c r="V12" s="112"/>
      <c r="W12" s="113"/>
      <c r="X12" s="112"/>
      <c r="Y12" s="113"/>
    </row>
    <row r="13" s="109" customFormat="1">
      <c r="A13" s="102" t="str">
        <f>'0212'!$A$13</f>
        <v xml:space="preserve">Реализация (погашение) купонных облигаций, номинал которых выражен в валюте РФ</v>
      </c>
      <c r="B13" s="114"/>
      <c r="C13" s="108"/>
      <c r="D13" s="99"/>
      <c r="E13" s="99"/>
      <c r="F13" s="108"/>
      <c r="G13" s="108"/>
      <c r="H13" s="99"/>
      <c r="I13" s="99"/>
      <c r="J13" s="99"/>
      <c r="K13" s="99"/>
      <c r="L13" s="99"/>
      <c r="M13" s="99"/>
      <c r="N13" s="99"/>
      <c r="O13" s="99"/>
      <c r="P13" s="99"/>
      <c r="S13" s="112"/>
      <c r="T13" s="112"/>
      <c r="U13" s="112"/>
      <c r="V13" s="112"/>
      <c r="W13" s="113"/>
      <c r="X13" s="112"/>
      <c r="Y13" s="113"/>
    </row>
    <row r="14" s="70" customFormat="1">
      <c r="B14" s="116"/>
      <c r="C14" s="112"/>
      <c r="D14" s="99"/>
      <c r="E14" s="99"/>
      <c r="F14" s="112"/>
      <c r="G14" s="117"/>
      <c r="H14" s="99"/>
      <c r="I14" s="99"/>
      <c r="J14" s="99"/>
      <c r="K14" s="99"/>
      <c r="L14" s="99"/>
      <c r="M14" s="99"/>
      <c r="N14" s="99"/>
      <c r="O14" s="99"/>
      <c r="P14" s="99"/>
      <c r="Q14" s="109"/>
      <c r="R14" s="109"/>
      <c r="S14" s="113"/>
      <c r="T14" s="113"/>
      <c r="U14" s="113"/>
      <c r="V14" s="113"/>
      <c r="W14" s="109"/>
      <c r="X14" s="109"/>
      <c r="Y14" s="109"/>
    </row>
    <row r="15" s="70" customFormat="1">
      <c r="A15" s="96" t="s">
        <v>17</v>
      </c>
      <c r="B15" s="116"/>
      <c r="C15" s="112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109"/>
      <c r="R15" s="109"/>
      <c r="S15" s="113"/>
      <c r="T15" s="113"/>
      <c r="U15" s="113"/>
      <c r="V15" s="113"/>
      <c r="W15" s="109"/>
      <c r="X15" s="109"/>
      <c r="Y15" s="109"/>
    </row>
    <row r="16" s="95" customFormat="1" ht="13.5">
      <c r="A16" s="96" t="s">
        <v>210</v>
      </c>
      <c r="B16" s="118" t="str">
        <f>'0212'!B16</f>
        <v>&lt;H0_7&gt;</v>
      </c>
      <c r="C16" s="11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T16" s="120"/>
      <c r="U16" s="120"/>
      <c r="V16" s="120"/>
      <c r="W16" s="120"/>
      <c r="X16" s="121"/>
      <c r="Y16" s="121"/>
    </row>
    <row r="17" s="95" customFormat="1" ht="13.5">
      <c r="A17" s="96" t="s">
        <v>212</v>
      </c>
      <c r="B17" s="118" t="str">
        <f>'0212'!B17</f>
        <v>&lt;H0_8&gt;</v>
      </c>
      <c r="C17" s="70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T17" s="120"/>
      <c r="U17" s="120"/>
      <c r="V17" s="120"/>
      <c r="W17" s="120"/>
      <c r="X17" s="121"/>
      <c r="Y17" s="121"/>
    </row>
    <row r="18" s="95" customFormat="1" ht="13.5">
      <c r="A18" s="106" t="s">
        <v>214</v>
      </c>
      <c r="B18" s="122"/>
      <c r="D18" s="123" t="str">
        <f>'0212'!C18</f>
        <v>&lt;H0_9&gt;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T18" s="120"/>
      <c r="U18" s="120"/>
      <c r="V18" s="120"/>
      <c r="W18" s="120"/>
      <c r="X18" s="121"/>
      <c r="Y18" s="121"/>
    </row>
    <row r="19" s="70" customFormat="1" ht="13.5">
      <c r="A19" s="106" t="s">
        <v>216</v>
      </c>
      <c r="B19" s="124"/>
      <c r="C19" s="112"/>
      <c r="D19" s="123" t="str">
        <f>'0212'!C19</f>
        <v>&lt;H0_11&gt;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109"/>
      <c r="R19" s="109"/>
      <c r="S19" s="113"/>
      <c r="T19" s="113"/>
      <c r="U19" s="113"/>
      <c r="V19" s="113"/>
      <c r="W19" s="109"/>
      <c r="X19" s="109"/>
      <c r="Y19" s="109"/>
    </row>
    <row r="20" s="109" customFormat="1" ht="13.5">
      <c r="A20" s="106"/>
      <c r="B20" s="124"/>
      <c r="C20" s="125"/>
      <c r="D20" s="156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</row>
    <row r="21"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</row>
    <row r="22">
      <c r="D22" s="109"/>
      <c r="E22" s="99"/>
      <c r="F22" s="99"/>
      <c r="G22" s="99"/>
      <c r="H22" s="99"/>
      <c r="I22" s="99"/>
      <c r="J22" s="99"/>
      <c r="K22" s="99"/>
      <c r="L22" s="195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</row>
    <row r="23" ht="42.75" customHeight="1">
      <c r="A23" s="128" t="s">
        <v>218</v>
      </c>
      <c r="B23" s="128" t="s">
        <v>68</v>
      </c>
      <c r="C23" s="128" t="s">
        <v>219</v>
      </c>
      <c r="D23" s="128" t="s">
        <v>31</v>
      </c>
      <c r="E23" s="128" t="s">
        <v>220</v>
      </c>
      <c r="F23" s="128" t="s">
        <v>221</v>
      </c>
      <c r="G23" s="128" t="s">
        <v>222</v>
      </c>
      <c r="H23" s="128" t="s">
        <v>223</v>
      </c>
      <c r="I23" s="129" t="s">
        <v>224</v>
      </c>
      <c r="J23" s="129"/>
      <c r="K23" s="129"/>
      <c r="L23" s="128" t="s">
        <v>35</v>
      </c>
      <c r="M23" s="129" t="s">
        <v>257</v>
      </c>
      <c r="N23" s="129" t="s">
        <v>226</v>
      </c>
      <c r="O23" s="129" t="s">
        <v>392</v>
      </c>
      <c r="P23" s="129" t="s">
        <v>393</v>
      </c>
      <c r="Q23" s="129" t="s">
        <v>258</v>
      </c>
      <c r="R23" s="129"/>
      <c r="S23" s="129" t="s">
        <v>394</v>
      </c>
      <c r="T23" s="129" t="s">
        <v>395</v>
      </c>
      <c r="U23" s="129" t="s">
        <v>396</v>
      </c>
      <c r="V23" s="129" t="s">
        <v>397</v>
      </c>
      <c r="W23" s="129" t="s">
        <v>398</v>
      </c>
      <c r="X23" s="129" t="s">
        <v>399</v>
      </c>
      <c r="Y23" s="129" t="s">
        <v>283</v>
      </c>
      <c r="Z23" s="128" t="s">
        <v>72</v>
      </c>
    </row>
    <row r="24" ht="59.25" customHeight="1">
      <c r="A24" s="130"/>
      <c r="B24" s="130"/>
      <c r="C24" s="130"/>
      <c r="D24" s="130"/>
      <c r="E24" s="131"/>
      <c r="F24" s="131"/>
      <c r="G24" s="131"/>
      <c r="H24" s="131"/>
      <c r="I24" s="129" t="s">
        <v>229</v>
      </c>
      <c r="J24" s="129" t="s">
        <v>400</v>
      </c>
      <c r="K24" s="129" t="s">
        <v>401</v>
      </c>
      <c r="L24" s="131"/>
      <c r="M24" s="129"/>
      <c r="N24" s="129"/>
      <c r="O24" s="129"/>
      <c r="P24" s="129"/>
      <c r="Q24" s="129" t="s">
        <v>287</v>
      </c>
      <c r="R24" s="129" t="s">
        <v>288</v>
      </c>
      <c r="S24" s="129"/>
      <c r="T24" s="129"/>
      <c r="U24" s="129"/>
      <c r="V24" s="129"/>
      <c r="W24" s="129"/>
      <c r="X24" s="129"/>
      <c r="Y24" s="129"/>
      <c r="Z24" s="130"/>
    </row>
    <row r="25" s="196" customFormat="1" ht="58.5" customHeight="1">
      <c r="A25" s="131"/>
      <c r="B25" s="197"/>
      <c r="C25" s="197"/>
      <c r="D25" s="197"/>
      <c r="E25" s="197" t="s">
        <v>231</v>
      </c>
      <c r="F25" s="197" t="s">
        <v>402</v>
      </c>
      <c r="G25" s="197" t="s">
        <v>233</v>
      </c>
      <c r="H25" s="197" t="s">
        <v>403</v>
      </c>
      <c r="I25" s="198" t="s">
        <v>235</v>
      </c>
      <c r="J25" s="198" t="s">
        <v>404</v>
      </c>
      <c r="K25" s="198" t="s">
        <v>405</v>
      </c>
      <c r="L25" s="197" t="s">
        <v>236</v>
      </c>
      <c r="M25" s="198" t="s">
        <v>239</v>
      </c>
      <c r="N25" s="198" t="s">
        <v>406</v>
      </c>
      <c r="O25" s="198" t="s">
        <v>407</v>
      </c>
      <c r="P25" s="198" t="s">
        <v>408</v>
      </c>
      <c r="Q25" s="198" t="s">
        <v>409</v>
      </c>
      <c r="R25" s="198" t="s">
        <v>410</v>
      </c>
      <c r="S25" s="198" t="s">
        <v>237</v>
      </c>
      <c r="T25" s="198" t="s">
        <v>411</v>
      </c>
      <c r="U25" s="198" t="s">
        <v>232</v>
      </c>
      <c r="V25" s="198" t="s">
        <v>412</v>
      </c>
      <c r="W25" s="198" t="s">
        <v>413</v>
      </c>
      <c r="X25" s="198" t="s">
        <v>414</v>
      </c>
      <c r="Y25" s="198" t="s">
        <v>329</v>
      </c>
      <c r="Z25" s="197"/>
    </row>
    <row r="26" ht="17.449999999999999" customHeight="1">
      <c r="A26" s="131" t="s">
        <v>241</v>
      </c>
      <c r="B26" s="131" t="s">
        <v>242</v>
      </c>
      <c r="C26" s="131" t="s">
        <v>243</v>
      </c>
      <c r="D26" s="131">
        <v>1</v>
      </c>
      <c r="E26" s="131">
        <v>2</v>
      </c>
      <c r="F26" s="131">
        <v>3</v>
      </c>
      <c r="G26" s="131">
        <v>4</v>
      </c>
      <c r="H26" s="131">
        <v>5</v>
      </c>
      <c r="I26" s="131">
        <v>6</v>
      </c>
      <c r="J26" s="131">
        <v>7</v>
      </c>
      <c r="K26" s="131">
        <v>8</v>
      </c>
      <c r="L26" s="131">
        <v>9</v>
      </c>
      <c r="M26" s="131">
        <v>10</v>
      </c>
      <c r="N26" s="131">
        <v>11</v>
      </c>
      <c r="O26" s="131">
        <v>12</v>
      </c>
      <c r="P26" s="131">
        <v>13</v>
      </c>
      <c r="Q26" s="129">
        <v>14</v>
      </c>
      <c r="R26" s="129">
        <v>15</v>
      </c>
      <c r="S26" s="129">
        <v>16</v>
      </c>
      <c r="T26" s="129">
        <v>17</v>
      </c>
      <c r="U26" s="129">
        <v>18</v>
      </c>
      <c r="V26" s="129">
        <v>19</v>
      </c>
      <c r="W26" s="129">
        <v>20</v>
      </c>
      <c r="X26" s="129">
        <v>21</v>
      </c>
      <c r="Y26" s="129">
        <v>22</v>
      </c>
      <c r="Z26" s="131" t="s">
        <v>244</v>
      </c>
    </row>
    <row r="27" s="176" customFormat="1">
      <c r="A27" s="79" t="s">
        <v>245</v>
      </c>
      <c r="B27" s="93" t="s">
        <v>191</v>
      </c>
      <c r="C27" s="76" t="s">
        <v>131</v>
      </c>
      <c r="D27" s="76" t="s">
        <v>132</v>
      </c>
      <c r="E27" s="138" t="s">
        <v>193</v>
      </c>
      <c r="F27" s="138" t="s">
        <v>348</v>
      </c>
      <c r="G27" s="138" t="s">
        <v>142</v>
      </c>
      <c r="H27" s="138" t="s">
        <v>246</v>
      </c>
      <c r="I27" s="138" t="s">
        <v>192</v>
      </c>
      <c r="J27" s="138" t="s">
        <v>377</v>
      </c>
      <c r="K27" s="138" t="s">
        <v>378</v>
      </c>
      <c r="L27" s="139" t="s">
        <v>136</v>
      </c>
      <c r="M27" s="138" t="s">
        <v>415</v>
      </c>
      <c r="N27" s="138" t="s">
        <v>247</v>
      </c>
      <c r="O27" s="138" t="s">
        <v>140</v>
      </c>
      <c r="P27" s="177" t="s">
        <v>376</v>
      </c>
      <c r="Q27" s="138" t="s">
        <v>341</v>
      </c>
      <c r="R27" s="138" t="s">
        <v>342</v>
      </c>
      <c r="S27" s="138" t="s">
        <v>339</v>
      </c>
      <c r="T27" s="138" t="s">
        <v>337</v>
      </c>
      <c r="U27" s="138" t="s">
        <v>347</v>
      </c>
      <c r="V27" s="138" t="s">
        <v>343</v>
      </c>
      <c r="W27" s="138" t="s">
        <v>416</v>
      </c>
      <c r="X27" s="138" t="s">
        <v>367</v>
      </c>
      <c r="Y27" s="138" t="s">
        <v>379</v>
      </c>
      <c r="Z27" s="76" t="s">
        <v>195</v>
      </c>
    </row>
    <row r="28" ht="13.5">
      <c r="B28" s="140"/>
      <c r="C28" s="140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</row>
    <row r="29" ht="13.5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Q29" s="110"/>
      <c r="R29" s="110"/>
      <c r="S29" s="110"/>
      <c r="T29" s="110"/>
      <c r="U29" s="110"/>
      <c r="V29" s="141"/>
    </row>
    <row r="30" ht="12" customHeight="1">
      <c r="V30" s="70"/>
    </row>
    <row r="31" s="199" customFormat="1" ht="12">
      <c r="V31" s="199"/>
    </row>
    <row r="32" s="95" customFormat="1">
      <c r="A32" s="199"/>
      <c r="B32" s="199"/>
      <c r="C32" s="199"/>
      <c r="D32" s="199"/>
      <c r="E32" s="199"/>
      <c r="F32" s="199"/>
      <c r="G32" s="199"/>
      <c r="H32" s="199"/>
      <c r="I32" s="199"/>
      <c r="J32" s="199"/>
      <c r="K32" s="199"/>
      <c r="L32" s="199"/>
      <c r="M32" s="199"/>
      <c r="N32" s="199"/>
      <c r="O32" s="199"/>
      <c r="P32" s="199"/>
    </row>
    <row r="33" s="199" customFormat="1">
      <c r="A33" s="200"/>
      <c r="F33" s="95"/>
      <c r="G33" s="95"/>
    </row>
    <row r="34" s="199" customFormat="1" ht="12">
      <c r="A34" s="201"/>
    </row>
    <row r="35" s="199" customFormat="1" ht="12">
      <c r="A35" s="200"/>
    </row>
  </sheetData>
  <mergeCells count="25">
    <mergeCell ref="X23:X24"/>
    <mergeCell ref="G23:G24"/>
    <mergeCell ref="H23:H24"/>
    <mergeCell ref="A23:A25"/>
    <mergeCell ref="B23:B24"/>
    <mergeCell ref="C23:C24"/>
    <mergeCell ref="D23:D24"/>
    <mergeCell ref="E23:E24"/>
    <mergeCell ref="F23:F24"/>
    <mergeCell ref="Z23:Z24"/>
    <mergeCell ref="U23:U24"/>
    <mergeCell ref="B16:C16"/>
    <mergeCell ref="B17:C17"/>
    <mergeCell ref="O23:O24"/>
    <mergeCell ref="P23:P24"/>
    <mergeCell ref="S23:S24"/>
    <mergeCell ref="T23:T24"/>
    <mergeCell ref="I23:K23"/>
    <mergeCell ref="L23:L24"/>
    <mergeCell ref="M23:M24"/>
    <mergeCell ref="N23:N24"/>
    <mergeCell ref="Q23:R23"/>
    <mergeCell ref="Y23:Y24"/>
    <mergeCell ref="V23:V24"/>
    <mergeCell ref="W23:W2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7">
    <outlinePr applyStyles="0" summaryBelow="1" summaryRight="1" showOutlineSymbols="1"/>
    <pageSetUpPr autoPageBreaks="1" fitToPage="0"/>
  </sheetPr>
  <sheetViews>
    <sheetView topLeftCell="Y1" zoomScale="100" workbookViewId="0">
      <selection activeCell="A1" activeCellId="0" sqref="A1"/>
    </sheetView>
  </sheetViews>
  <sheetFormatPr defaultColWidth="9.140625" defaultRowHeight="12.75" outlineLevelRow="1"/>
  <cols>
    <col customWidth="1" min="1" max="1" style="144" width="3.42578125"/>
    <col customWidth="1" min="2" max="2" style="144" width="16.7109375"/>
    <col customWidth="1" min="3" max="3" style="144" width="30.7109375"/>
    <col customWidth="1" min="4" max="4" style="144" width="15.7109375"/>
    <col customWidth="1" min="5" max="5" style="144" width="10.5703125"/>
    <col bestFit="1" customWidth="1" min="6" max="6" style="144" width="13.5703125"/>
    <col customWidth="1" min="7" max="7" style="144" width="9.85546875"/>
    <col bestFit="1" customWidth="1" min="8" max="8" style="144" width="10.7109375"/>
    <col bestFit="1" customWidth="1" min="9" max="9" style="144" width="19.5703125"/>
    <col customWidth="1" min="10" max="10" style="144" width="8.140625"/>
    <col customWidth="1" min="11" max="11" style="202" width="10"/>
    <col customWidth="1" min="12" max="12" style="203" width="10.28515625"/>
    <col customWidth="1" min="13" max="13" style="203" width="14.85546875"/>
    <col customWidth="1" min="14" max="14" style="203" width="18.5703125"/>
    <col customWidth="1" min="15" max="15" width="12.5703125"/>
    <col customWidth="1" min="16" max="16" width="13.28515625"/>
    <col customWidth="1" min="17" max="17" style="203" width="18.7109375"/>
    <col customWidth="1" min="18" max="18" style="203" width="11.140625"/>
    <col customWidth="1" min="19" max="19" style="203" width="9.42578125"/>
    <col customWidth="1" min="20" max="20" style="144" width="10.7109375"/>
    <col customWidth="1" min="21" max="21" style="203" width="12.28515625"/>
    <col customWidth="1" min="22" max="23" style="144" width="9.85546875"/>
    <col customWidth="1" min="24" max="24" style="144" width="10.7109375"/>
    <col customWidth="1" min="25" max="25" style="144" width="9.85546875"/>
    <col customWidth="1" min="26" max="26" style="202" width="10.140625"/>
    <col customWidth="1" min="27" max="27" style="144" width="9.140625"/>
    <col customWidth="1" min="28" max="28" style="144" width="11.85546875"/>
    <col customWidth="1" min="29" max="29" style="203" width="10"/>
    <col customWidth="1" min="30" max="30" style="203" width="8.42578125"/>
    <col customWidth="1" min="31" max="31" style="203" width="9.85546875"/>
    <col customWidth="1" min="32" max="32" style="144" width="11.28515625"/>
    <col customWidth="1" min="33" max="33" style="144" width="10.5703125"/>
    <col customWidth="1" min="34" max="35" style="144" width="12"/>
    <col customWidth="1" min="36" max="36" style="144" width="19.140625"/>
    <col customWidth="1" min="37" max="37" style="144" width="11"/>
    <col customWidth="1" min="38" max="38" style="144" width="9.7109375"/>
    <col customWidth="1" min="39" max="39" style="144" width="9.5703125"/>
    <col customWidth="1" min="40" max="40" style="144" width="10.42578125"/>
    <col customWidth="1" min="41" max="41" style="144" width="9.7109375"/>
    <col customWidth="1" min="42" max="42" style="144" width="11.5703125"/>
    <col customWidth="1" min="43" max="43" style="144" width="11"/>
    <col customWidth="1" min="44" max="44" style="144" width="12.7109375"/>
    <col customWidth="1" min="45" max="45" style="144" width="11.5703125"/>
    <col customWidth="1" min="46" max="46" style="144" width="12.28515625"/>
    <col customWidth="1" min="47" max="47" style="144" width="9.140625"/>
    <col min="48" max="16384" style="144" width="9.140625"/>
  </cols>
  <sheetData>
    <row r="1" s="1" customFormat="1">
      <c r="A1" s="2"/>
      <c r="B1" s="3" t="s">
        <v>0</v>
      </c>
      <c r="C1" s="4" t="s">
        <v>417</v>
      </c>
      <c r="D1" s="3" t="s">
        <v>2</v>
      </c>
      <c r="E1" s="5" t="s">
        <v>418</v>
      </c>
      <c r="F1" s="3" t="s">
        <v>4</v>
      </c>
      <c r="G1" s="5" t="s">
        <v>5</v>
      </c>
      <c r="H1" s="3" t="s">
        <v>6</v>
      </c>
      <c r="I1" s="6" t="s">
        <v>7</v>
      </c>
      <c r="J1" s="3" t="s">
        <v>8</v>
      </c>
      <c r="K1" s="5" t="s">
        <v>9</v>
      </c>
      <c r="L1" s="3" t="s">
        <v>10</v>
      </c>
      <c r="M1" s="5" t="s">
        <v>11</v>
      </c>
      <c r="N1" s="3" t="s">
        <v>12</v>
      </c>
      <c r="O1" s="5" t="s">
        <v>13</v>
      </c>
      <c r="Q1" s="7"/>
      <c r="R1" s="8"/>
      <c r="T1" s="7"/>
      <c r="U1" s="9"/>
      <c r="V1" s="9"/>
      <c r="W1" s="9"/>
      <c r="Z1" s="10"/>
      <c r="AA1" s="10"/>
      <c r="AB1" s="7"/>
      <c r="AC1" s="7"/>
      <c r="AE1" s="11"/>
      <c r="AF1" s="11"/>
    </row>
    <row r="2" s="12" customFormat="1" ht="18.75">
      <c r="B2" s="13" t="s">
        <v>14</v>
      </c>
      <c r="D2" s="14"/>
      <c r="E2" s="14"/>
      <c r="F2" s="15"/>
      <c r="G2" s="15"/>
      <c r="H2" s="15"/>
      <c r="I2" s="15"/>
      <c r="J2" s="15"/>
      <c r="K2" s="15"/>
      <c r="L2" s="15"/>
      <c r="M2" s="16"/>
      <c r="N2" s="16"/>
      <c r="O2" s="17"/>
      <c r="P2" s="16"/>
      <c r="Q2" s="17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9"/>
    </row>
    <row r="3" s="12" customFormat="1" ht="15" customHeight="1">
      <c r="B3" s="20" t="s">
        <v>419</v>
      </c>
      <c r="D3" s="14"/>
      <c r="E3" s="14"/>
      <c r="F3" s="21"/>
      <c r="G3" s="21"/>
      <c r="H3" s="15"/>
      <c r="I3" s="15"/>
      <c r="J3" s="15"/>
      <c r="K3" s="15"/>
      <c r="L3" s="15"/>
      <c r="M3" s="16"/>
      <c r="N3" s="16"/>
      <c r="O3" s="17"/>
      <c r="P3" s="16"/>
      <c r="Q3" s="17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9"/>
    </row>
    <row r="4" s="12" customFormat="1" ht="18.75">
      <c r="B4" s="22" t="s">
        <v>420</v>
      </c>
      <c r="C4" s="23"/>
      <c r="D4" s="24"/>
      <c r="E4" s="24"/>
      <c r="F4" s="25"/>
      <c r="G4" s="25"/>
      <c r="H4" s="15"/>
      <c r="I4" s="15"/>
      <c r="J4" s="15"/>
      <c r="K4" s="15"/>
      <c r="L4" s="15"/>
      <c r="M4" s="25"/>
      <c r="N4" s="25"/>
      <c r="O4" s="26"/>
      <c r="P4" s="25"/>
      <c r="Q4" s="26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9"/>
    </row>
    <row r="5" s="12" customFormat="1" ht="19.5" customHeight="1">
      <c r="B5" s="27" t="s">
        <v>17</v>
      </c>
      <c r="C5" s="28" t="s">
        <v>421</v>
      </c>
      <c r="E5" s="29"/>
      <c r="F5" s="30"/>
      <c r="G5" s="30"/>
      <c r="H5" s="15"/>
      <c r="I5" s="15"/>
      <c r="J5" s="15"/>
      <c r="K5" s="15"/>
      <c r="L5" s="15"/>
      <c r="M5" s="27"/>
      <c r="N5" s="27"/>
      <c r="O5" s="31"/>
      <c r="P5" s="27"/>
      <c r="Q5" s="31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9"/>
    </row>
    <row r="6" s="18" customFormat="1">
      <c r="B6" s="32" t="s">
        <v>19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 t="s">
        <v>422</v>
      </c>
      <c r="O6" s="33"/>
      <c r="P6" s="33"/>
      <c r="Q6" s="34" t="s">
        <v>423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J6" s="34" t="s">
        <v>424</v>
      </c>
    </row>
    <row r="7" s="35" customFormat="1" ht="15.75">
      <c r="B7" s="36" t="s">
        <v>22</v>
      </c>
      <c r="K7" s="204">
        <v>0</v>
      </c>
      <c r="L7" s="205" t="s">
        <v>23</v>
      </c>
      <c r="M7" s="206">
        <v>0</v>
      </c>
      <c r="N7" s="206">
        <v>0</v>
      </c>
      <c r="O7" s="206">
        <v>0</v>
      </c>
      <c r="P7" s="206">
        <v>0</v>
      </c>
      <c r="Q7" s="206">
        <v>0</v>
      </c>
      <c r="R7" s="205" t="s">
        <v>23</v>
      </c>
      <c r="S7" s="207" t="s">
        <v>23</v>
      </c>
      <c r="T7" s="208" t="s">
        <v>23</v>
      </c>
      <c r="U7" s="206">
        <v>0</v>
      </c>
      <c r="V7" s="206">
        <v>0</v>
      </c>
      <c r="W7" s="206">
        <v>0</v>
      </c>
      <c r="X7" s="207" t="s">
        <v>23</v>
      </c>
      <c r="Y7" s="208" t="s">
        <v>23</v>
      </c>
      <c r="Z7" s="208" t="s">
        <v>23</v>
      </c>
      <c r="AA7" s="205" t="s">
        <v>23</v>
      </c>
      <c r="AB7" s="206">
        <v>0</v>
      </c>
      <c r="AC7" s="205" t="s">
        <v>23</v>
      </c>
      <c r="AD7" s="207" t="s">
        <v>23</v>
      </c>
      <c r="AE7" s="208" t="s">
        <v>23</v>
      </c>
      <c r="AF7" s="206">
        <v>0</v>
      </c>
      <c r="AG7" s="206">
        <v>0</v>
      </c>
      <c r="AH7" s="206">
        <v>0</v>
      </c>
      <c r="AI7" s="206">
        <v>0</v>
      </c>
      <c r="AJ7" s="206">
        <v>0</v>
      </c>
      <c r="AK7" s="208" t="s">
        <v>23</v>
      </c>
      <c r="AL7" s="208" t="s">
        <v>23</v>
      </c>
      <c r="AM7" s="207" t="s">
        <v>23</v>
      </c>
      <c r="AN7" s="207" t="s">
        <v>23</v>
      </c>
      <c r="AO7" s="209" t="s">
        <v>23</v>
      </c>
      <c r="AP7" s="206">
        <v>0</v>
      </c>
      <c r="AQ7" s="206">
        <v>0</v>
      </c>
      <c r="AR7" s="206">
        <v>0</v>
      </c>
      <c r="AS7" s="210" t="s">
        <v>23</v>
      </c>
      <c r="AT7" s="210" t="s">
        <v>23</v>
      </c>
      <c r="AU7" s="208" t="s">
        <v>23</v>
      </c>
    </row>
    <row r="8" s="35" customFormat="1" ht="15" customHeight="1" outlineLevel="1">
      <c r="B8" s="55" t="s">
        <v>24</v>
      </c>
      <c r="C8" s="57" t="s">
        <v>25</v>
      </c>
      <c r="D8" s="56" t="s">
        <v>26</v>
      </c>
      <c r="E8" s="58" t="s">
        <v>27</v>
      </c>
    </row>
    <row r="9" s="211" customFormat="1" ht="15" customHeight="1" outlineLevel="1"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</row>
    <row r="10" s="35" customFormat="1" ht="21" customHeight="1">
      <c r="B10" s="60" t="s">
        <v>28</v>
      </c>
      <c r="C10" s="60"/>
      <c r="D10" s="61" t="s">
        <v>29</v>
      </c>
      <c r="E10" s="62"/>
    </row>
    <row r="11" ht="60" customHeight="1">
      <c r="B11" s="72" t="s">
        <v>30</v>
      </c>
      <c r="C11" s="72" t="s">
        <v>31</v>
      </c>
      <c r="D11" s="72" t="s">
        <v>251</v>
      </c>
      <c r="E11" s="72" t="s">
        <v>425</v>
      </c>
      <c r="F11" s="72" t="s">
        <v>253</v>
      </c>
      <c r="G11" s="72" t="s">
        <v>426</v>
      </c>
      <c r="H11" s="64" t="s">
        <v>427</v>
      </c>
      <c r="I11" s="64" t="s">
        <v>428</v>
      </c>
      <c r="J11" s="64" t="s">
        <v>429</v>
      </c>
      <c r="K11" s="64" t="s">
        <v>35</v>
      </c>
      <c r="L11" s="72" t="s">
        <v>254</v>
      </c>
      <c r="M11" s="72" t="s">
        <v>255</v>
      </c>
      <c r="N11" s="64" t="s">
        <v>430</v>
      </c>
      <c r="O11" s="64" t="s">
        <v>431</v>
      </c>
      <c r="P11" s="64" t="s">
        <v>258</v>
      </c>
      <c r="Q11" s="64" t="s">
        <v>257</v>
      </c>
      <c r="R11" s="212" t="s">
        <v>432</v>
      </c>
      <c r="S11" s="213"/>
      <c r="T11" s="214"/>
      <c r="U11" s="72" t="s">
        <v>40</v>
      </c>
      <c r="V11" s="72" t="s">
        <v>433</v>
      </c>
      <c r="W11" s="72" t="s">
        <v>434</v>
      </c>
      <c r="X11" s="72" t="s">
        <v>41</v>
      </c>
      <c r="Y11" s="72" t="s">
        <v>435</v>
      </c>
      <c r="Z11" s="72" t="s">
        <v>43</v>
      </c>
      <c r="AA11" s="72" t="s">
        <v>260</v>
      </c>
      <c r="AB11" s="72" t="s">
        <v>261</v>
      </c>
      <c r="AC11" s="215" t="s">
        <v>436</v>
      </c>
      <c r="AD11" s="216"/>
      <c r="AE11" s="217"/>
      <c r="AF11" s="72" t="s">
        <v>47</v>
      </c>
      <c r="AG11" s="72" t="s">
        <v>48</v>
      </c>
      <c r="AH11" s="72" t="s">
        <v>437</v>
      </c>
      <c r="AI11" s="72" t="s">
        <v>438</v>
      </c>
      <c r="AJ11" s="72" t="s">
        <v>51</v>
      </c>
      <c r="AK11" s="65" t="s">
        <v>65</v>
      </c>
      <c r="AL11" s="66"/>
      <c r="AM11" s="72" t="s">
        <v>66</v>
      </c>
      <c r="AN11" s="72" t="s">
        <v>67</v>
      </c>
      <c r="AO11" s="72" t="s">
        <v>68</v>
      </c>
      <c r="AP11" s="72" t="s">
        <v>224</v>
      </c>
      <c r="AQ11" s="72"/>
      <c r="AR11" s="72"/>
      <c r="AS11" s="72" t="s">
        <v>282</v>
      </c>
      <c r="AT11" s="64" t="s">
        <v>72</v>
      </c>
      <c r="AU11" s="72" t="s">
        <v>75</v>
      </c>
    </row>
    <row r="12" ht="54.75" customHeight="1">
      <c r="B12" s="72"/>
      <c r="C12" s="72"/>
      <c r="D12" s="72"/>
      <c r="E12" s="72"/>
      <c r="F12" s="72"/>
      <c r="G12" s="72"/>
      <c r="H12" s="71"/>
      <c r="I12" s="71"/>
      <c r="J12" s="71"/>
      <c r="K12" s="71"/>
      <c r="L12" s="72"/>
      <c r="M12" s="72"/>
      <c r="N12" s="71"/>
      <c r="O12" s="71"/>
      <c r="P12" s="71"/>
      <c r="Q12" s="71"/>
      <c r="R12" s="218" t="s">
        <v>439</v>
      </c>
      <c r="S12" s="218" t="s">
        <v>440</v>
      </c>
      <c r="T12" s="218" t="s">
        <v>85</v>
      </c>
      <c r="U12" s="72"/>
      <c r="V12" s="72"/>
      <c r="W12" s="72"/>
      <c r="X12" s="72"/>
      <c r="Y12" s="72"/>
      <c r="Z12" s="72"/>
      <c r="AA12" s="72"/>
      <c r="AB12" s="72"/>
      <c r="AC12" s="218" t="s">
        <v>439</v>
      </c>
      <c r="AD12" s="218" t="s">
        <v>440</v>
      </c>
      <c r="AE12" s="218" t="s">
        <v>85</v>
      </c>
      <c r="AF12" s="72"/>
      <c r="AG12" s="72"/>
      <c r="AH12" s="72"/>
      <c r="AI12" s="72"/>
      <c r="AJ12" s="72"/>
      <c r="AK12" s="72" t="s">
        <v>89</v>
      </c>
      <c r="AL12" s="72" t="s">
        <v>90</v>
      </c>
      <c r="AM12" s="72"/>
      <c r="AN12" s="72"/>
      <c r="AO12" s="72"/>
      <c r="AP12" s="72" t="s">
        <v>299</v>
      </c>
      <c r="AQ12" s="72" t="s">
        <v>441</v>
      </c>
      <c r="AR12" s="72" t="s">
        <v>442</v>
      </c>
      <c r="AS12" s="72"/>
      <c r="AT12" s="71"/>
      <c r="AU12" s="72"/>
    </row>
    <row r="13">
      <c r="A13" s="56" t="s">
        <v>25</v>
      </c>
      <c r="B13" s="74">
        <v>1</v>
      </c>
      <c r="C13" s="74">
        <v>2</v>
      </c>
      <c r="D13" s="74">
        <v>3</v>
      </c>
      <c r="E13" s="74">
        <v>4</v>
      </c>
      <c r="F13" s="74">
        <v>5</v>
      </c>
      <c r="G13" s="74">
        <v>6</v>
      </c>
      <c r="H13" s="74">
        <v>7</v>
      </c>
      <c r="I13" s="74">
        <v>8</v>
      </c>
      <c r="J13" s="74">
        <v>9</v>
      </c>
      <c r="K13" s="74">
        <v>10</v>
      </c>
      <c r="L13" s="74">
        <v>11</v>
      </c>
      <c r="M13" s="74">
        <v>12</v>
      </c>
      <c r="N13" s="74">
        <v>13</v>
      </c>
      <c r="O13" s="74">
        <v>14</v>
      </c>
      <c r="P13" s="74">
        <v>15</v>
      </c>
      <c r="Q13" s="74">
        <v>16</v>
      </c>
      <c r="R13" s="74">
        <v>17</v>
      </c>
      <c r="S13" s="74">
        <v>18</v>
      </c>
      <c r="T13" s="74">
        <v>19</v>
      </c>
      <c r="U13" s="74">
        <v>20</v>
      </c>
      <c r="V13" s="74">
        <v>21</v>
      </c>
      <c r="W13" s="74">
        <v>21.100000000000001</v>
      </c>
      <c r="X13" s="74">
        <v>22</v>
      </c>
      <c r="Y13" s="74">
        <v>23</v>
      </c>
      <c r="Z13" s="74">
        <v>24</v>
      </c>
      <c r="AA13" s="74">
        <v>25</v>
      </c>
      <c r="AB13" s="74">
        <v>26</v>
      </c>
      <c r="AC13" s="74">
        <v>27</v>
      </c>
      <c r="AD13" s="74">
        <v>28</v>
      </c>
      <c r="AE13" s="74">
        <v>29</v>
      </c>
      <c r="AF13" s="74">
        <v>30</v>
      </c>
      <c r="AG13" s="74">
        <v>31</v>
      </c>
      <c r="AH13" s="74">
        <v>32</v>
      </c>
      <c r="AI13" s="74">
        <v>32.100000000000001</v>
      </c>
      <c r="AJ13" s="74">
        <v>33</v>
      </c>
      <c r="AK13" s="74" t="s">
        <v>443</v>
      </c>
      <c r="AL13" s="74" t="str">
        <f t="shared" ref="AL13:AR13" si="0">"Т"&amp;RIGHT(AK13,LEN(AK13)-1)+1</f>
        <v>Т2</v>
      </c>
      <c r="AM13" s="74" t="str">
        <f t="shared" si="0"/>
        <v>Т3</v>
      </c>
      <c r="AN13" s="74" t="str">
        <f t="shared" si="0"/>
        <v>Т4</v>
      </c>
      <c r="AO13" s="74" t="str">
        <f t="shared" si="0"/>
        <v>Т5</v>
      </c>
      <c r="AP13" s="74" t="str">
        <f t="shared" si="0"/>
        <v>Т6</v>
      </c>
      <c r="AQ13" s="74" t="str">
        <f t="shared" si="0"/>
        <v>Т7</v>
      </c>
      <c r="AR13" s="74" t="str">
        <f t="shared" si="0"/>
        <v>Т8</v>
      </c>
      <c r="AS13" s="74" t="s">
        <v>125</v>
      </c>
      <c r="AT13" s="74" t="s">
        <v>127</v>
      </c>
      <c r="AU13" s="74" t="s">
        <v>444</v>
      </c>
    </row>
    <row r="14">
      <c r="A14" s="2"/>
      <c r="B14" s="76" t="s">
        <v>131</v>
      </c>
      <c r="C14" s="76" t="s">
        <v>132</v>
      </c>
      <c r="D14" s="76" t="s">
        <v>133</v>
      </c>
      <c r="E14" s="77" t="s">
        <v>134</v>
      </c>
      <c r="F14" s="77" t="s">
        <v>135</v>
      </c>
      <c r="G14" s="83" t="s">
        <v>445</v>
      </c>
      <c r="H14" s="77" t="s">
        <v>446</v>
      </c>
      <c r="I14" s="77" t="s">
        <v>447</v>
      </c>
      <c r="J14" s="83" t="s">
        <v>448</v>
      </c>
      <c r="K14" s="78" t="s">
        <v>136</v>
      </c>
      <c r="L14" s="83" t="s">
        <v>336</v>
      </c>
      <c r="M14" s="81" t="s">
        <v>141</v>
      </c>
      <c r="N14" s="81" t="s">
        <v>449</v>
      </c>
      <c r="O14" s="81" t="s">
        <v>450</v>
      </c>
      <c r="P14" s="177" t="s">
        <v>451</v>
      </c>
      <c r="Q14" s="177" t="s">
        <v>338</v>
      </c>
      <c r="R14" s="83" t="s">
        <v>164</v>
      </c>
      <c r="S14" s="76" t="s">
        <v>166</v>
      </c>
      <c r="T14" s="77" t="s">
        <v>167</v>
      </c>
      <c r="U14" s="81" t="s">
        <v>142</v>
      </c>
      <c r="V14" s="81" t="s">
        <v>152</v>
      </c>
      <c r="W14" s="81" t="s">
        <v>154</v>
      </c>
      <c r="X14" s="76" t="s">
        <v>143</v>
      </c>
      <c r="Y14" s="77" t="s">
        <v>144</v>
      </c>
      <c r="Z14" s="77" t="s">
        <v>145</v>
      </c>
      <c r="AA14" s="83" t="s">
        <v>452</v>
      </c>
      <c r="AB14" s="81" t="s">
        <v>149</v>
      </c>
      <c r="AC14" s="83" t="s">
        <v>178</v>
      </c>
      <c r="AD14" s="76" t="s">
        <v>180</v>
      </c>
      <c r="AE14" s="77" t="s">
        <v>181</v>
      </c>
      <c r="AF14" s="81" t="s">
        <v>150</v>
      </c>
      <c r="AG14" s="177" t="s">
        <v>151</v>
      </c>
      <c r="AH14" s="81" t="s">
        <v>153</v>
      </c>
      <c r="AI14" s="81" t="s">
        <v>155</v>
      </c>
      <c r="AJ14" s="177" t="s">
        <v>247</v>
      </c>
      <c r="AK14" s="85" t="s">
        <v>187</v>
      </c>
      <c r="AL14" s="85" t="s">
        <v>188</v>
      </c>
      <c r="AM14" s="89" t="s">
        <v>189</v>
      </c>
      <c r="AN14" s="89" t="s">
        <v>190</v>
      </c>
      <c r="AO14" s="90" t="s">
        <v>191</v>
      </c>
      <c r="AP14" s="177" t="s">
        <v>192</v>
      </c>
      <c r="AQ14" s="177" t="s">
        <v>377</v>
      </c>
      <c r="AR14" s="177" t="s">
        <v>378</v>
      </c>
      <c r="AS14" s="90" t="s">
        <v>194</v>
      </c>
      <c r="AT14" s="90" t="s">
        <v>195</v>
      </c>
      <c r="AU14" s="77" t="s">
        <v>198</v>
      </c>
    </row>
    <row r="15">
      <c r="A15" s="56" t="s">
        <v>26</v>
      </c>
    </row>
    <row r="16">
      <c r="B16" s="219"/>
      <c r="C16" s="219"/>
      <c r="D16" s="219"/>
      <c r="E16" s="219"/>
      <c r="F16" s="219"/>
      <c r="G16" s="219"/>
      <c r="H16" s="201"/>
      <c r="I16" s="96"/>
      <c r="J16" s="96"/>
      <c r="K16" s="110"/>
      <c r="L16" s="96"/>
      <c r="M16" s="220"/>
      <c r="N16" s="221"/>
      <c r="O16" s="221"/>
      <c r="P16" s="203"/>
    </row>
    <row r="17">
      <c r="P17" s="203"/>
    </row>
    <row r="18">
      <c r="B18" s="222" t="s">
        <v>23</v>
      </c>
      <c r="C18" s="223"/>
      <c r="D18" s="223"/>
      <c r="E18" s="223"/>
      <c r="F18" s="125"/>
      <c r="O18" s="203"/>
      <c r="P18" s="203"/>
    </row>
    <row r="19">
      <c r="B19" s="224"/>
      <c r="C19" s="223"/>
      <c r="D19" s="223"/>
      <c r="E19" s="125"/>
      <c r="F19" s="125"/>
      <c r="O19" s="203"/>
      <c r="P19" s="203"/>
    </row>
    <row r="20">
      <c r="B20" s="222"/>
      <c r="C20" s="223"/>
      <c r="D20" s="223"/>
      <c r="E20" s="223"/>
      <c r="F20" s="125"/>
      <c r="O20" s="203"/>
      <c r="P20" s="203"/>
    </row>
  </sheetData>
  <mergeCells count="40">
    <mergeCell ref="V11:V12"/>
    <mergeCell ref="X11:X12"/>
    <mergeCell ref="Y11:Y12"/>
    <mergeCell ref="Z11:Z12"/>
    <mergeCell ref="AC11:AE11"/>
    <mergeCell ref="AA11:AA12"/>
    <mergeCell ref="AB11:AB12"/>
    <mergeCell ref="W11:W12"/>
    <mergeCell ref="AF11:AF12"/>
    <mergeCell ref="AG11:AG12"/>
    <mergeCell ref="AH11:AH12"/>
    <mergeCell ref="AJ11:AJ12"/>
    <mergeCell ref="AI11:AI12"/>
    <mergeCell ref="AU11:AU12"/>
    <mergeCell ref="AT11:AT12"/>
    <mergeCell ref="AM11:AM12"/>
    <mergeCell ref="AN11:AN12"/>
    <mergeCell ref="AK11:AL11"/>
    <mergeCell ref="AP11:AR11"/>
    <mergeCell ref="AS11:AS12"/>
    <mergeCell ref="AO11:AO12"/>
    <mergeCell ref="B11:B12"/>
    <mergeCell ref="C11:C12"/>
    <mergeCell ref="D11:D12"/>
    <mergeCell ref="E11:E12"/>
    <mergeCell ref="F11:F12"/>
    <mergeCell ref="H16:J16"/>
    <mergeCell ref="U11:U12"/>
    <mergeCell ref="K11:K12"/>
    <mergeCell ref="G11:G12"/>
    <mergeCell ref="H11:H12"/>
    <mergeCell ref="L11:L12"/>
    <mergeCell ref="M11:M12"/>
    <mergeCell ref="N11:N12"/>
    <mergeCell ref="R11:T11"/>
    <mergeCell ref="I11:I12"/>
    <mergeCell ref="J11:J12"/>
    <mergeCell ref="O11:O12"/>
    <mergeCell ref="P11:P12"/>
    <mergeCell ref="Q11:Q1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2" operator="beginsWith" text="DU_" id="{00A800E4-00C3-4614-A19D-008800880077}">
            <xm:f>LEFT(D14,LEN("DU_"))="DU_"</xm:f>
            <x14:dxf>
              <fill>
                <patternFill patternType="solid">
                  <fgColor theme="4" tint="0.59996337778862885"/>
                  <bgColor theme="4" tint="0.59996337778862885"/>
                </patternFill>
              </fill>
            </x14:dxf>
          </x14:cfRule>
          <xm:sqref>D14:D65534</xm:sqref>
        </x14:conditionalFormatting>
        <x14:conditionalFormatting xmlns:xm="http://schemas.microsoft.com/office/excel/2006/main">
          <x14:cfRule type="beginsWith" priority="1" operator="beginsWith" text="ARNU_DU" id="{00770048-0077-4566-9E0A-0099000D00D5}">
            <xm:f>LEFT(V14,LEN("ARNU_DU"))="ARNU_DU"</xm:f>
            <x14:dxf>
              <fill>
                <patternFill patternType="solid">
                  <fgColor theme="4" tint="0.59996337778862885"/>
                  <bgColor theme="4" tint="0.59996337778862885"/>
                </patternFill>
              </fill>
            </x14:dxf>
          </x14:cfRule>
          <xm:sqref>V14:V65534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5">
    <outlinePr applyStyles="0" summaryBelow="1" summaryRight="1" showOutlineSymbols="1"/>
    <pageSetUpPr autoPageBreaks="1" fitToPage="0"/>
  </sheetPr>
  <sheetViews>
    <sheetView topLeftCell="CD1" zoomScale="100" workbookViewId="0">
      <selection activeCell="A1" activeCellId="0" sqref="A1"/>
    </sheetView>
  </sheetViews>
  <sheetFormatPr defaultColWidth="9.140625" defaultRowHeight="12.75" outlineLevelRow="1"/>
  <cols>
    <col customWidth="1" min="1" max="1" style="225" width="3.42578125"/>
    <col customWidth="1" min="2" max="2" style="225" width="16.7109375"/>
    <col customWidth="1" min="3" max="3" style="225" width="30.7109375"/>
    <col customWidth="1" min="4" max="4" style="225" width="15.7109375"/>
    <col customWidth="1" min="5" max="5" style="225" width="15.85546875"/>
    <col bestFit="1" customWidth="1" min="6" max="6" style="225" width="13.5703125"/>
    <col min="7" max="7" style="225" width="9.140625"/>
    <col bestFit="1" customWidth="1" min="8" max="8" style="225" width="10.7109375"/>
    <col bestFit="1" customWidth="1" min="9" max="9" style="225" width="19.5703125"/>
    <col min="10" max="10" style="225" width="9.140625"/>
    <col customWidth="1" min="11" max="11" style="225" width="11.42578125"/>
    <col customWidth="1" min="12" max="12" style="225" width="15"/>
    <col customWidth="1" min="13" max="13" style="225" width="11.42578125"/>
    <col customWidth="1" min="14" max="14" style="225" width="17.5703125"/>
    <col customWidth="1" min="15" max="15" style="225" width="18.140625"/>
    <col customWidth="1" min="16" max="16" style="225" width="14.28515625"/>
    <col customWidth="1" min="17" max="17" style="225" width="17.140625"/>
    <col customWidth="1" min="18" max="18" style="225" width="19"/>
    <col customWidth="1" min="19" max="19" style="225" width="16"/>
    <col customWidth="1" min="20" max="20" style="225" width="15.5703125"/>
    <col min="21" max="23" style="225" width="9.140625"/>
    <col customWidth="1" min="24" max="24" style="225" width="9.28515625"/>
    <col min="25" max="25" style="225" width="9.140625"/>
    <col customWidth="1" min="26" max="26" style="225" width="13.85546875"/>
    <col customWidth="1" min="27" max="27" style="225" width="13"/>
    <col customWidth="1" min="28" max="28" style="225" width="16.42578125"/>
    <col customWidth="1" min="29" max="29" style="225" width="17.5703125"/>
    <col customWidth="1" min="30" max="30" style="225" width="13.85546875"/>
    <col customWidth="1" min="31" max="31" style="225" width="18.5703125"/>
    <col customWidth="1" min="32" max="32" style="225" width="13.85546875"/>
    <col customWidth="1" min="33" max="33" style="225" width="15.42578125"/>
    <col customWidth="1" min="34" max="37" style="225" width="11.85546875"/>
    <col customWidth="1" min="38" max="38" style="225" width="18.140625"/>
    <col customWidth="1" min="39" max="40" style="225" width="9.42578125"/>
    <col customWidth="1" min="41" max="41" style="225" width="11"/>
    <col customWidth="1" min="42" max="42" style="225" width="11.7109375"/>
    <col customWidth="1" min="43" max="43" style="225" width="8.42578125"/>
    <col customWidth="1" min="44" max="44" style="225" width="9.140625"/>
    <col customWidth="1" min="45" max="45" style="225" width="8.28515625"/>
    <col customWidth="1" min="46" max="46" style="225" width="8"/>
    <col customWidth="1" min="47" max="47" style="225" width="9"/>
    <col customWidth="1" min="48" max="48" style="225" width="6.7109375"/>
    <col customWidth="1" min="49" max="49" style="225" width="11.140625"/>
    <col customWidth="1" min="50" max="50" style="225" width="8.5703125"/>
    <col customWidth="1" min="51" max="51" style="225" width="10.28515625"/>
    <col customWidth="1" min="52" max="52" style="225" width="7"/>
    <col customWidth="1" min="53" max="53" style="225" width="6.140625"/>
    <col customWidth="1" min="54" max="54" style="225" width="12.140625"/>
    <col customWidth="1" min="55" max="55" style="225" width="10"/>
    <col customWidth="1" min="56" max="56" style="225" width="9.140625"/>
    <col customWidth="1" min="57" max="57" style="225" width="8.140625"/>
    <col customWidth="1" min="58" max="58" style="225" width="7.5703125"/>
    <col customWidth="1" min="59" max="59" style="225" width="9"/>
    <col customWidth="1" min="60" max="60" style="225" width="6.28515625"/>
    <col customWidth="1" min="61" max="61" style="225" width="12.140625"/>
    <col customWidth="1" min="62" max="62" style="225" width="9.140625"/>
    <col customWidth="1" min="63" max="63" style="225" width="9.5703125"/>
    <col customWidth="1" min="64" max="64" style="225" width="7"/>
    <col customWidth="1" min="65" max="65" style="225" width="6.7109375"/>
    <col customWidth="1" min="66" max="66" style="225" width="12.5703125"/>
    <col customWidth="1" min="67" max="67" style="225" width="9.85546875"/>
    <col customWidth="1" min="68" max="68" style="225" width="15.5703125"/>
    <col customWidth="1" min="69" max="69" style="225" width="12.85546875"/>
    <col customWidth="1" min="70" max="70" style="225" width="16.5703125"/>
    <col customWidth="1" min="71" max="71" style="225" width="9.85546875"/>
    <col min="72" max="73" style="225" width="9.140625"/>
    <col customWidth="1" min="74" max="74" style="225" width="9.140625"/>
    <col customWidth="1" min="75" max="75" style="225" width="17.85546875"/>
    <col customWidth="1" min="76" max="76" style="225" width="12.42578125"/>
    <col customWidth="1" min="77" max="77" style="225" width="18.140625"/>
    <col customWidth="1" min="78" max="78" style="225" width="9.42578125"/>
    <col customWidth="1" min="79" max="82" style="225" width="11.42578125"/>
    <col customWidth="1" min="83" max="83" style="225" width="14.140625"/>
    <col customWidth="1" min="84" max="84" style="225" width="14"/>
    <col customWidth="1" min="85" max="85" style="225" width="13"/>
    <col customWidth="1" min="86" max="86" style="225" width="14.7109375"/>
    <col customWidth="1" min="87" max="87" style="225" width="13.42578125"/>
    <col customWidth="1" min="88" max="89" style="225" width="13.140625"/>
    <col customWidth="1" min="90" max="90" style="225" width="5.85546875"/>
    <col customWidth="1" min="91" max="97" style="225" width="14.5703125"/>
    <col min="98" max="100" style="225" width="9.140625"/>
    <col customWidth="1" min="101" max="101" style="225" width="10.28515625"/>
    <col min="102" max="16384" style="225" width="9.140625"/>
  </cols>
  <sheetData>
    <row r="1" s="1" customFormat="1">
      <c r="A1" s="2"/>
      <c r="B1" s="226" t="s">
        <v>0</v>
      </c>
      <c r="C1" s="227" t="s">
        <v>1</v>
      </c>
      <c r="D1" s="226" t="s">
        <v>2</v>
      </c>
      <c r="E1" s="228" t="s">
        <v>3</v>
      </c>
      <c r="F1" s="226" t="s">
        <v>4</v>
      </c>
      <c r="G1" s="228" t="s">
        <v>5</v>
      </c>
      <c r="H1" s="226" t="s">
        <v>6</v>
      </c>
      <c r="I1" s="229" t="s">
        <v>7</v>
      </c>
      <c r="J1" s="226" t="s">
        <v>8</v>
      </c>
      <c r="K1" s="228" t="s">
        <v>9</v>
      </c>
      <c r="L1" s="226" t="s">
        <v>10</v>
      </c>
      <c r="M1" s="228" t="s">
        <v>11</v>
      </c>
      <c r="N1" s="226" t="s">
        <v>12</v>
      </c>
      <c r="O1" s="228" t="s">
        <v>13</v>
      </c>
      <c r="Q1" s="230"/>
      <c r="R1" s="8"/>
      <c r="T1" s="230"/>
      <c r="U1" s="231"/>
      <c r="V1" s="231"/>
      <c r="W1" s="231"/>
      <c r="Z1" s="10"/>
      <c r="AA1" s="10"/>
      <c r="AB1" s="230"/>
      <c r="AC1" s="230"/>
      <c r="AE1" s="11"/>
      <c r="AF1" s="11"/>
    </row>
    <row r="2" s="12" customFormat="1" ht="18.75">
      <c r="B2" s="13" t="s">
        <v>14</v>
      </c>
      <c r="D2" s="14"/>
      <c r="E2" s="14"/>
      <c r="F2" s="15"/>
      <c r="G2" s="15"/>
      <c r="H2" s="15"/>
      <c r="I2" s="15"/>
      <c r="J2" s="15"/>
      <c r="K2" s="15"/>
      <c r="L2" s="15"/>
      <c r="M2" s="16"/>
      <c r="N2" s="16"/>
      <c r="O2" s="232"/>
      <c r="P2" s="16"/>
      <c r="Q2" s="232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19"/>
    </row>
    <row r="3" s="12" customFormat="1" ht="15" customHeight="1">
      <c r="B3" s="20" t="s">
        <v>15</v>
      </c>
      <c r="D3" s="14"/>
      <c r="E3" s="14"/>
      <c r="F3" s="21"/>
      <c r="G3" s="21"/>
      <c r="H3" s="15"/>
      <c r="I3" s="15"/>
      <c r="J3" s="15"/>
      <c r="K3" s="15"/>
      <c r="L3" s="15"/>
      <c r="M3" s="16"/>
      <c r="N3" s="16"/>
      <c r="O3" s="232"/>
      <c r="P3" s="16"/>
      <c r="Q3" s="232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  <c r="AC3" s="233"/>
      <c r="AD3" s="233"/>
      <c r="AE3" s="233"/>
      <c r="AF3" s="19"/>
    </row>
    <row r="4" s="12" customFormat="1" ht="18.75">
      <c r="B4" s="22" t="s">
        <v>16</v>
      </c>
      <c r="C4" s="23"/>
      <c r="D4" s="24"/>
      <c r="E4" s="24"/>
      <c r="F4" s="25"/>
      <c r="G4" s="25"/>
      <c r="H4" s="15"/>
      <c r="I4" s="15"/>
      <c r="J4" s="15"/>
      <c r="K4" s="15"/>
      <c r="L4" s="15"/>
      <c r="M4" s="25"/>
      <c r="N4" s="25"/>
      <c r="O4" s="234"/>
      <c r="P4" s="25"/>
      <c r="Q4" s="234"/>
      <c r="R4" s="233"/>
      <c r="S4" s="233"/>
      <c r="T4" s="233"/>
      <c r="U4" s="233"/>
      <c r="V4" s="233"/>
      <c r="W4" s="233"/>
      <c r="X4" s="233"/>
      <c r="Y4" s="233"/>
      <c r="Z4" s="233"/>
      <c r="AA4" s="233"/>
      <c r="AB4" s="233"/>
      <c r="AC4" s="233"/>
      <c r="AD4" s="233"/>
      <c r="AE4" s="233"/>
      <c r="AF4" s="19"/>
    </row>
    <row r="5" s="12" customFormat="1" ht="19.5" customHeight="1">
      <c r="B5" s="27" t="s">
        <v>17</v>
      </c>
      <c r="C5" s="28" t="s">
        <v>18</v>
      </c>
      <c r="E5" s="29"/>
      <c r="F5" s="30"/>
      <c r="G5" s="30"/>
      <c r="H5" s="15"/>
      <c r="I5" s="15"/>
      <c r="J5" s="15"/>
      <c r="K5" s="15"/>
      <c r="L5" s="15"/>
      <c r="M5" s="27"/>
      <c r="N5" s="27"/>
      <c r="O5" s="235"/>
      <c r="P5" s="27"/>
      <c r="Q5" s="235"/>
      <c r="R5" s="233"/>
      <c r="S5" s="233"/>
      <c r="T5" s="233"/>
      <c r="U5" s="233"/>
      <c r="V5" s="233"/>
      <c r="W5" s="233"/>
      <c r="X5" s="233"/>
      <c r="Y5" s="233"/>
      <c r="Z5" s="233"/>
      <c r="AA5" s="233"/>
      <c r="AB5" s="233"/>
      <c r="AC5" s="233"/>
      <c r="AD5" s="233"/>
      <c r="AE5" s="233"/>
      <c r="AF5" s="19"/>
    </row>
    <row r="6" s="233" customFormat="1">
      <c r="B6" s="32" t="s">
        <v>19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236" t="s">
        <v>453</v>
      </c>
      <c r="O6" s="236" t="s">
        <v>454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L6" s="236" t="s">
        <v>455</v>
      </c>
      <c r="BR6" s="236" t="s">
        <v>456</v>
      </c>
      <c r="BW6" s="236" t="s">
        <v>457</v>
      </c>
      <c r="BY6" s="236" t="s">
        <v>458</v>
      </c>
    </row>
    <row r="7" s="237" customFormat="1" ht="15.75">
      <c r="B7" s="238" t="s">
        <v>22</v>
      </c>
      <c r="C7" s="237"/>
      <c r="D7" s="237"/>
      <c r="E7" s="237"/>
      <c r="F7" s="237"/>
      <c r="G7" s="204">
        <v>0</v>
      </c>
      <c r="H7" s="210" t="s">
        <v>23</v>
      </c>
      <c r="I7" s="210" t="s">
        <v>23</v>
      </c>
      <c r="J7" s="205" t="s">
        <v>23</v>
      </c>
      <c r="K7" s="206">
        <v>0</v>
      </c>
      <c r="L7" s="206">
        <v>0</v>
      </c>
      <c r="M7" s="206">
        <v>0</v>
      </c>
      <c r="N7" s="206">
        <v>0</v>
      </c>
      <c r="O7" s="206">
        <v>0</v>
      </c>
      <c r="P7" s="206">
        <v>0</v>
      </c>
      <c r="Q7" s="206">
        <v>0</v>
      </c>
      <c r="R7" s="206">
        <v>0</v>
      </c>
      <c r="S7" s="206">
        <v>0</v>
      </c>
      <c r="T7" s="206">
        <v>0</v>
      </c>
      <c r="U7" s="207" t="s">
        <v>23</v>
      </c>
      <c r="V7" s="208" t="s">
        <v>23</v>
      </c>
      <c r="W7" s="208" t="s">
        <v>23</v>
      </c>
      <c r="X7" s="210" t="s">
        <v>23</v>
      </c>
      <c r="Y7" s="205" t="s">
        <v>23</v>
      </c>
      <c r="Z7" s="206">
        <v>0</v>
      </c>
      <c r="AA7" s="206">
        <v>0</v>
      </c>
      <c r="AB7" s="206">
        <v>0</v>
      </c>
      <c r="AC7" s="206">
        <v>0</v>
      </c>
      <c r="AD7" s="206">
        <v>0</v>
      </c>
      <c r="AE7" s="206">
        <v>0</v>
      </c>
      <c r="AF7" s="206">
        <v>0</v>
      </c>
      <c r="AG7" s="206">
        <v>0</v>
      </c>
      <c r="AH7" s="206">
        <v>0</v>
      </c>
      <c r="AI7" s="206">
        <v>0</v>
      </c>
      <c r="AJ7" s="206">
        <v>0</v>
      </c>
      <c r="AK7" s="206">
        <v>0</v>
      </c>
      <c r="AL7" s="206">
        <v>0</v>
      </c>
      <c r="AM7" s="205" t="s">
        <v>23</v>
      </c>
      <c r="AN7" s="205" t="s">
        <v>23</v>
      </c>
      <c r="AO7" s="207" t="s">
        <v>23</v>
      </c>
      <c r="AP7" s="207" t="s">
        <v>23</v>
      </c>
      <c r="AQ7" s="239" t="s">
        <v>23</v>
      </c>
      <c r="AR7" s="208" t="s">
        <v>23</v>
      </c>
      <c r="AS7" s="205" t="s">
        <v>23</v>
      </c>
      <c r="AT7" s="204">
        <v>0</v>
      </c>
      <c r="AU7" s="205" t="s">
        <v>23</v>
      </c>
      <c r="AV7" s="240" t="s">
        <v>23</v>
      </c>
      <c r="AW7" s="207" t="s">
        <v>23</v>
      </c>
      <c r="AX7" s="208" t="s">
        <v>23</v>
      </c>
      <c r="AY7" s="205" t="s">
        <v>23</v>
      </c>
      <c r="AZ7" s="240" t="s">
        <v>23</v>
      </c>
      <c r="BA7" s="207" t="s">
        <v>23</v>
      </c>
      <c r="BB7" s="207" t="s">
        <v>23</v>
      </c>
      <c r="BC7" s="206" t="s">
        <v>23</v>
      </c>
      <c r="BD7" s="208" t="s">
        <v>23</v>
      </c>
      <c r="BE7" s="205" t="s">
        <v>23</v>
      </c>
      <c r="BF7" s="204">
        <v>0</v>
      </c>
      <c r="BG7" s="205" t="s">
        <v>23</v>
      </c>
      <c r="BH7" s="240" t="s">
        <v>23</v>
      </c>
      <c r="BI7" s="207" t="s">
        <v>23</v>
      </c>
      <c r="BJ7" s="208" t="s">
        <v>23</v>
      </c>
      <c r="BK7" s="205" t="s">
        <v>23</v>
      </c>
      <c r="BL7" s="240" t="s">
        <v>23</v>
      </c>
      <c r="BM7" s="207" t="s">
        <v>23</v>
      </c>
      <c r="BN7" s="207" t="s">
        <v>23</v>
      </c>
      <c r="BO7" s="206" t="s">
        <v>23</v>
      </c>
      <c r="BP7" s="206">
        <v>0</v>
      </c>
      <c r="BQ7" s="206">
        <v>0</v>
      </c>
      <c r="BR7" s="206">
        <v>0</v>
      </c>
      <c r="BS7" s="206">
        <v>0</v>
      </c>
      <c r="BT7" s="204">
        <v>0</v>
      </c>
      <c r="BU7" s="204">
        <v>0</v>
      </c>
      <c r="BV7" s="206">
        <v>0</v>
      </c>
      <c r="BW7" s="206">
        <v>0</v>
      </c>
      <c r="BX7" s="206">
        <v>0</v>
      </c>
      <c r="BY7" s="206">
        <v>0</v>
      </c>
      <c r="BZ7" s="208" t="s">
        <v>23</v>
      </c>
      <c r="CA7" s="206">
        <v>0</v>
      </c>
      <c r="CB7" s="206">
        <v>0</v>
      </c>
      <c r="CC7" s="206">
        <v>0</v>
      </c>
      <c r="CD7" s="206">
        <v>0</v>
      </c>
      <c r="CE7" s="205" t="s">
        <v>23</v>
      </c>
      <c r="CF7" s="206">
        <v>0</v>
      </c>
      <c r="CG7" s="206">
        <v>0</v>
      </c>
      <c r="CH7" s="208" t="s">
        <v>23</v>
      </c>
      <c r="CI7" s="208" t="s">
        <v>23</v>
      </c>
      <c r="CJ7" s="207" t="s">
        <v>23</v>
      </c>
      <c r="CK7" s="207" t="s">
        <v>23</v>
      </c>
      <c r="CL7" s="239" t="s">
        <v>23</v>
      </c>
      <c r="CM7" s="206">
        <v>0</v>
      </c>
      <c r="CN7" s="206">
        <v>0</v>
      </c>
      <c r="CO7" s="206">
        <v>0</v>
      </c>
      <c r="CP7" s="206">
        <v>0</v>
      </c>
      <c r="CQ7" s="240" t="s">
        <v>23</v>
      </c>
      <c r="CR7" s="206">
        <v>0</v>
      </c>
      <c r="CS7" s="210" t="s">
        <v>23</v>
      </c>
      <c r="CT7" s="241" t="s">
        <v>23</v>
      </c>
      <c r="CU7" s="241" t="s">
        <v>23</v>
      </c>
      <c r="CV7" s="208" t="s">
        <v>23</v>
      </c>
    </row>
    <row r="8" s="237" customFormat="1" ht="15" customHeight="1" outlineLevel="1">
      <c r="B8" s="242" t="s">
        <v>24</v>
      </c>
      <c r="C8" s="243" t="s">
        <v>25</v>
      </c>
      <c r="D8" s="243" t="s">
        <v>26</v>
      </c>
      <c r="E8" s="244" t="s">
        <v>27</v>
      </c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7"/>
      <c r="Y8" s="237"/>
      <c r="Z8" s="237"/>
      <c r="AA8" s="237"/>
      <c r="AB8" s="237"/>
      <c r="AC8" s="237"/>
      <c r="AD8" s="237"/>
      <c r="AE8" s="237"/>
      <c r="AF8" s="237"/>
      <c r="AG8" s="237"/>
      <c r="AH8" s="237"/>
    </row>
    <row r="9" s="211" customFormat="1" ht="15" customHeight="1" outlineLevel="1"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</row>
    <row r="10" s="237" customFormat="1" ht="21" customHeight="1">
      <c r="B10" s="60" t="s">
        <v>28</v>
      </c>
      <c r="C10" s="60"/>
      <c r="D10" s="61" t="s">
        <v>29</v>
      </c>
      <c r="E10" s="62"/>
      <c r="F10" s="237"/>
      <c r="G10" s="237"/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</row>
    <row r="11" s="225" customFormat="1" ht="54.75" customHeight="1">
      <c r="B11" s="72" t="s">
        <v>30</v>
      </c>
      <c r="C11" s="72" t="s">
        <v>31</v>
      </c>
      <c r="D11" s="72" t="s">
        <v>251</v>
      </c>
      <c r="E11" s="72" t="s">
        <v>252</v>
      </c>
      <c r="F11" s="72" t="s">
        <v>253</v>
      </c>
      <c r="G11" s="72" t="s">
        <v>35</v>
      </c>
      <c r="H11" s="72" t="s">
        <v>36</v>
      </c>
      <c r="I11" s="64" t="s">
        <v>37</v>
      </c>
      <c r="J11" s="72" t="s">
        <v>254</v>
      </c>
      <c r="K11" s="72" t="s">
        <v>459</v>
      </c>
      <c r="L11" s="72"/>
      <c r="M11" s="72" t="s">
        <v>460</v>
      </c>
      <c r="N11" s="72"/>
      <c r="O11" s="72" t="s">
        <v>257</v>
      </c>
      <c r="P11" s="72"/>
      <c r="Q11" s="72" t="s">
        <v>40</v>
      </c>
      <c r="R11" s="72" t="s">
        <v>258</v>
      </c>
      <c r="S11" s="72" t="s">
        <v>461</v>
      </c>
      <c r="T11" s="72"/>
      <c r="U11" s="72" t="s">
        <v>41</v>
      </c>
      <c r="V11" s="72" t="s">
        <v>42</v>
      </c>
      <c r="W11" s="72" t="s">
        <v>43</v>
      </c>
      <c r="X11" s="64" t="s">
        <v>44</v>
      </c>
      <c r="Y11" s="72" t="s">
        <v>260</v>
      </c>
      <c r="Z11" s="72" t="s">
        <v>46</v>
      </c>
      <c r="AA11" s="72"/>
      <c r="AB11" s="72" t="s">
        <v>462</v>
      </c>
      <c r="AC11" s="72"/>
      <c r="AD11" s="65" t="s">
        <v>263</v>
      </c>
      <c r="AE11" s="66"/>
      <c r="AF11" s="65" t="s">
        <v>264</v>
      </c>
      <c r="AG11" s="66"/>
      <c r="AH11" s="65" t="s">
        <v>49</v>
      </c>
      <c r="AI11" s="66"/>
      <c r="AJ11" s="65" t="s">
        <v>50</v>
      </c>
      <c r="AK11" s="66"/>
      <c r="AL11" s="72" t="s">
        <v>226</v>
      </c>
      <c r="AM11" s="72" t="s">
        <v>265</v>
      </c>
      <c r="AN11" s="72" t="s">
        <v>266</v>
      </c>
      <c r="AO11" s="65" t="s">
        <v>52</v>
      </c>
      <c r="AP11" s="66"/>
      <c r="AQ11" s="72" t="s">
        <v>267</v>
      </c>
      <c r="AR11" s="64" t="s">
        <v>53</v>
      </c>
      <c r="AS11" s="72" t="s">
        <v>54</v>
      </c>
      <c r="AT11" s="72" t="s">
        <v>463</v>
      </c>
      <c r="AU11" s="245" t="s">
        <v>58</v>
      </c>
      <c r="AV11" s="245"/>
      <c r="AW11" s="245"/>
      <c r="AX11" s="245"/>
      <c r="AY11" s="245"/>
      <c r="AZ11" s="64" t="s">
        <v>59</v>
      </c>
      <c r="BA11" s="65" t="s">
        <v>60</v>
      </c>
      <c r="BB11" s="66"/>
      <c r="BC11" s="72" t="s">
        <v>464</v>
      </c>
      <c r="BD11" s="64" t="s">
        <v>53</v>
      </c>
      <c r="BE11" s="72" t="s">
        <v>62</v>
      </c>
      <c r="BF11" s="72" t="s">
        <v>463</v>
      </c>
      <c r="BG11" s="245" t="s">
        <v>63</v>
      </c>
      <c r="BH11" s="245"/>
      <c r="BI11" s="245"/>
      <c r="BJ11" s="245"/>
      <c r="BK11" s="245"/>
      <c r="BL11" s="72" t="s">
        <v>59</v>
      </c>
      <c r="BM11" s="65" t="s">
        <v>60</v>
      </c>
      <c r="BN11" s="66"/>
      <c r="BO11" s="72" t="s">
        <v>465</v>
      </c>
      <c r="BP11" s="72" t="s">
        <v>47</v>
      </c>
      <c r="BQ11" s="72" t="s">
        <v>272</v>
      </c>
      <c r="BR11" s="72"/>
      <c r="BS11" s="72"/>
      <c r="BT11" s="72" t="s">
        <v>273</v>
      </c>
      <c r="BU11" s="72" t="s">
        <v>274</v>
      </c>
      <c r="BV11" s="72"/>
      <c r="BW11" s="72"/>
      <c r="BX11" s="72" t="s">
        <v>466</v>
      </c>
      <c r="BY11" s="72"/>
      <c r="BZ11" s="72" t="s">
        <v>276</v>
      </c>
      <c r="CA11" s="65" t="s">
        <v>278</v>
      </c>
      <c r="CB11" s="170"/>
      <c r="CC11" s="170"/>
      <c r="CD11" s="167"/>
      <c r="CE11" s="72" t="s">
        <v>279</v>
      </c>
      <c r="CF11" s="72" t="s">
        <v>280</v>
      </c>
      <c r="CG11" s="72" t="s">
        <v>467</v>
      </c>
      <c r="CH11" s="72" t="s">
        <v>65</v>
      </c>
      <c r="CI11" s="72"/>
      <c r="CJ11" s="72" t="s">
        <v>66</v>
      </c>
      <c r="CK11" s="72" t="s">
        <v>67</v>
      </c>
      <c r="CL11" s="72" t="s">
        <v>68</v>
      </c>
      <c r="CM11" s="72" t="s">
        <v>224</v>
      </c>
      <c r="CN11" s="72"/>
      <c r="CO11" s="72"/>
      <c r="CP11" s="72" t="s">
        <v>468</v>
      </c>
      <c r="CQ11" s="64" t="s">
        <v>282</v>
      </c>
      <c r="CR11" s="64" t="s">
        <v>283</v>
      </c>
      <c r="CS11" s="64" t="s">
        <v>72</v>
      </c>
      <c r="CT11" s="72" t="s">
        <v>73</v>
      </c>
      <c r="CU11" s="72" t="s">
        <v>74</v>
      </c>
      <c r="CV11" s="72" t="s">
        <v>75</v>
      </c>
    </row>
    <row r="12" s="225" customFormat="1" ht="77.25" customHeight="1">
      <c r="B12" s="72"/>
      <c r="C12" s="72"/>
      <c r="D12" s="72"/>
      <c r="E12" s="72"/>
      <c r="F12" s="72"/>
      <c r="G12" s="72"/>
      <c r="H12" s="72"/>
      <c r="I12" s="71"/>
      <c r="J12" s="72"/>
      <c r="K12" s="72" t="s">
        <v>76</v>
      </c>
      <c r="L12" s="72" t="s">
        <v>77</v>
      </c>
      <c r="M12" s="72" t="s">
        <v>76</v>
      </c>
      <c r="N12" s="72" t="s">
        <v>77</v>
      </c>
      <c r="O12" s="72" t="s">
        <v>285</v>
      </c>
      <c r="P12" s="72" t="s">
        <v>286</v>
      </c>
      <c r="Q12" s="72"/>
      <c r="R12" s="72"/>
      <c r="S12" s="72" t="s">
        <v>469</v>
      </c>
      <c r="T12" s="72" t="s">
        <v>77</v>
      </c>
      <c r="U12" s="72"/>
      <c r="V12" s="72"/>
      <c r="W12" s="72"/>
      <c r="X12" s="71"/>
      <c r="Y12" s="72"/>
      <c r="Z12" s="72" t="s">
        <v>76</v>
      </c>
      <c r="AA12" s="72" t="s">
        <v>77</v>
      </c>
      <c r="AB12" s="72" t="s">
        <v>76</v>
      </c>
      <c r="AC12" s="72" t="s">
        <v>77</v>
      </c>
      <c r="AD12" s="72" t="s">
        <v>289</v>
      </c>
      <c r="AE12" s="72" t="s">
        <v>290</v>
      </c>
      <c r="AF12" s="72" t="s">
        <v>289</v>
      </c>
      <c r="AG12" s="72" t="s">
        <v>290</v>
      </c>
      <c r="AH12" s="72" t="s">
        <v>78</v>
      </c>
      <c r="AI12" s="72" t="s">
        <v>291</v>
      </c>
      <c r="AJ12" s="72" t="s">
        <v>78</v>
      </c>
      <c r="AK12" s="72" t="s">
        <v>470</v>
      </c>
      <c r="AL12" s="72"/>
      <c r="AM12" s="72"/>
      <c r="AN12" s="72"/>
      <c r="AO12" s="72" t="s">
        <v>80</v>
      </c>
      <c r="AP12" s="72" t="s">
        <v>81</v>
      </c>
      <c r="AQ12" s="72"/>
      <c r="AR12" s="71"/>
      <c r="AS12" s="72"/>
      <c r="AT12" s="72"/>
      <c r="AU12" s="72" t="s">
        <v>82</v>
      </c>
      <c r="AV12" s="72" t="s">
        <v>83</v>
      </c>
      <c r="AW12" s="72" t="s">
        <v>84</v>
      </c>
      <c r="AX12" s="72" t="s">
        <v>85</v>
      </c>
      <c r="AY12" s="72" t="s">
        <v>86</v>
      </c>
      <c r="AZ12" s="71"/>
      <c r="BA12" s="65" t="s">
        <v>87</v>
      </c>
      <c r="BB12" s="72" t="s">
        <v>88</v>
      </c>
      <c r="BC12" s="72"/>
      <c r="BD12" s="71"/>
      <c r="BE12" s="72"/>
      <c r="BF12" s="72"/>
      <c r="BG12" s="72" t="s">
        <v>82</v>
      </c>
      <c r="BH12" s="72" t="s">
        <v>83</v>
      </c>
      <c r="BI12" s="72" t="s">
        <v>84</v>
      </c>
      <c r="BJ12" s="72" t="s">
        <v>85</v>
      </c>
      <c r="BK12" s="72" t="s">
        <v>86</v>
      </c>
      <c r="BL12" s="72"/>
      <c r="BM12" s="65" t="s">
        <v>87</v>
      </c>
      <c r="BN12" s="72" t="s">
        <v>88</v>
      </c>
      <c r="BO12" s="72"/>
      <c r="BP12" s="72"/>
      <c r="BQ12" s="72" t="s">
        <v>292</v>
      </c>
      <c r="BR12" s="72" t="s">
        <v>293</v>
      </c>
      <c r="BS12" s="72" t="s">
        <v>294</v>
      </c>
      <c r="BT12" s="72"/>
      <c r="BU12" s="72" t="s">
        <v>295</v>
      </c>
      <c r="BV12" s="72" t="s">
        <v>469</v>
      </c>
      <c r="BW12" s="72" t="s">
        <v>77</v>
      </c>
      <c r="BX12" s="72" t="s">
        <v>469</v>
      </c>
      <c r="BY12" s="72" t="s">
        <v>77</v>
      </c>
      <c r="BZ12" s="72"/>
      <c r="CA12" s="72" t="s">
        <v>285</v>
      </c>
      <c r="CB12" s="72" t="s">
        <v>296</v>
      </c>
      <c r="CC12" s="72" t="s">
        <v>297</v>
      </c>
      <c r="CD12" s="72" t="s">
        <v>298</v>
      </c>
      <c r="CE12" s="72"/>
      <c r="CF12" s="72"/>
      <c r="CG12" s="72"/>
      <c r="CH12" s="72" t="s">
        <v>89</v>
      </c>
      <c r="CI12" s="72" t="s">
        <v>90</v>
      </c>
      <c r="CJ12" s="72"/>
      <c r="CK12" s="72"/>
      <c r="CL12" s="72"/>
      <c r="CM12" s="72" t="s">
        <v>299</v>
      </c>
      <c r="CN12" s="72" t="s">
        <v>471</v>
      </c>
      <c r="CO12" s="72" t="s">
        <v>472</v>
      </c>
      <c r="CP12" s="72"/>
      <c r="CQ12" s="134"/>
      <c r="CR12" s="134"/>
      <c r="CS12" s="71"/>
      <c r="CT12" s="72"/>
      <c r="CU12" s="72"/>
      <c r="CV12" s="72"/>
    </row>
    <row r="13" s="246" customFormat="1">
      <c r="A13" s="56" t="s">
        <v>25</v>
      </c>
      <c r="B13" s="72">
        <v>1</v>
      </c>
      <c r="C13" s="72">
        <v>2</v>
      </c>
      <c r="D13" s="72">
        <v>3</v>
      </c>
      <c r="E13" s="72">
        <v>4</v>
      </c>
      <c r="F13" s="72">
        <v>5</v>
      </c>
      <c r="G13" s="72">
        <v>6</v>
      </c>
      <c r="H13" s="72">
        <v>7</v>
      </c>
      <c r="I13" s="72">
        <v>8</v>
      </c>
      <c r="J13" s="72">
        <v>9</v>
      </c>
      <c r="K13" s="72">
        <v>10</v>
      </c>
      <c r="L13" s="72">
        <v>11</v>
      </c>
      <c r="M13" s="72">
        <v>12</v>
      </c>
      <c r="N13" s="72">
        <v>13</v>
      </c>
      <c r="O13" s="72">
        <v>14</v>
      </c>
      <c r="P13" s="72">
        <v>15</v>
      </c>
      <c r="Q13" s="72">
        <v>16</v>
      </c>
      <c r="R13" s="72">
        <v>17</v>
      </c>
      <c r="S13" s="72">
        <v>18</v>
      </c>
      <c r="T13" s="72">
        <v>19</v>
      </c>
      <c r="U13" s="72">
        <v>20</v>
      </c>
      <c r="V13" s="72">
        <v>21</v>
      </c>
      <c r="W13" s="72">
        <v>22</v>
      </c>
      <c r="X13" s="72">
        <v>23</v>
      </c>
      <c r="Y13" s="72">
        <v>24</v>
      </c>
      <c r="Z13" s="72">
        <v>25</v>
      </c>
      <c r="AA13" s="72">
        <v>26</v>
      </c>
      <c r="AB13" s="72">
        <v>27</v>
      </c>
      <c r="AC13" s="72">
        <v>28</v>
      </c>
      <c r="AD13" s="72">
        <v>29</v>
      </c>
      <c r="AE13" s="72">
        <v>30</v>
      </c>
      <c r="AF13" s="72">
        <v>30.100000000000001</v>
      </c>
      <c r="AG13" s="72">
        <v>30.199999999999999</v>
      </c>
      <c r="AH13" s="72">
        <v>31</v>
      </c>
      <c r="AI13" s="72">
        <v>32</v>
      </c>
      <c r="AJ13" s="72">
        <v>31.100000000000001</v>
      </c>
      <c r="AK13" s="72">
        <v>32.100000000000001</v>
      </c>
      <c r="AL13" s="72">
        <v>33</v>
      </c>
      <c r="AM13" s="72">
        <v>34</v>
      </c>
      <c r="AN13" s="72">
        <v>35</v>
      </c>
      <c r="AO13" s="72">
        <v>36</v>
      </c>
      <c r="AP13" s="72">
        <v>37</v>
      </c>
      <c r="AQ13" s="74" t="s">
        <v>311</v>
      </c>
      <c r="AR13" s="72" t="s">
        <v>91</v>
      </c>
      <c r="AS13" s="72" t="s">
        <v>92</v>
      </c>
      <c r="AT13" s="72" t="s">
        <v>93</v>
      </c>
      <c r="AU13" s="72" t="s">
        <v>94</v>
      </c>
      <c r="AV13" s="72" t="s">
        <v>95</v>
      </c>
      <c r="AW13" s="72" t="s">
        <v>96</v>
      </c>
      <c r="AX13" s="72" t="s">
        <v>97</v>
      </c>
      <c r="AY13" s="72" t="s">
        <v>98</v>
      </c>
      <c r="AZ13" s="72" t="s">
        <v>99</v>
      </c>
      <c r="BA13" s="72" t="s">
        <v>100</v>
      </c>
      <c r="BB13" s="72" t="s">
        <v>101</v>
      </c>
      <c r="BC13" s="72" t="s">
        <v>102</v>
      </c>
      <c r="BD13" s="74" t="s">
        <v>105</v>
      </c>
      <c r="BE13" s="72" t="s">
        <v>106</v>
      </c>
      <c r="BF13" s="72" t="s">
        <v>107</v>
      </c>
      <c r="BG13" s="72" t="s">
        <v>108</v>
      </c>
      <c r="BH13" s="72" t="s">
        <v>109</v>
      </c>
      <c r="BI13" s="72" t="s">
        <v>110</v>
      </c>
      <c r="BJ13" s="72" t="s">
        <v>111</v>
      </c>
      <c r="BK13" s="72" t="s">
        <v>112</v>
      </c>
      <c r="BL13" s="72" t="s">
        <v>113</v>
      </c>
      <c r="BM13" s="72" t="s">
        <v>114</v>
      </c>
      <c r="BN13" s="72" t="s">
        <v>115</v>
      </c>
      <c r="BO13" s="72" t="s">
        <v>116</v>
      </c>
      <c r="BP13" s="72" t="s">
        <v>117</v>
      </c>
      <c r="BQ13" s="74" t="s">
        <v>312</v>
      </c>
      <c r="BR13" s="72" t="s">
        <v>313</v>
      </c>
      <c r="BS13" s="72" t="s">
        <v>314</v>
      </c>
      <c r="BT13" s="72" t="s">
        <v>315</v>
      </c>
      <c r="BU13" s="72" t="s">
        <v>316</v>
      </c>
      <c r="BV13" s="72" t="s">
        <v>317</v>
      </c>
      <c r="BW13" s="72" t="s">
        <v>318</v>
      </c>
      <c r="BX13" s="72" t="s">
        <v>319</v>
      </c>
      <c r="BY13" s="72" t="s">
        <v>320</v>
      </c>
      <c r="BZ13" s="72" t="s">
        <v>473</v>
      </c>
      <c r="CA13" s="74" t="s">
        <v>321</v>
      </c>
      <c r="CB13" s="175" t="s">
        <v>322</v>
      </c>
      <c r="CC13" s="175" t="s">
        <v>323</v>
      </c>
      <c r="CD13" s="175" t="s">
        <v>324</v>
      </c>
      <c r="CE13" s="175" t="s">
        <v>325</v>
      </c>
      <c r="CF13" s="72" t="s">
        <v>326</v>
      </c>
      <c r="CG13" s="175" t="s">
        <v>474</v>
      </c>
      <c r="CH13" s="74" t="s">
        <v>119</v>
      </c>
      <c r="CI13" s="72" t="s">
        <v>120</v>
      </c>
      <c r="CJ13" s="72" t="s">
        <v>121</v>
      </c>
      <c r="CK13" s="72" t="s">
        <v>122</v>
      </c>
      <c r="CL13" s="72" t="s">
        <v>123</v>
      </c>
      <c r="CM13" s="72" t="s">
        <v>124</v>
      </c>
      <c r="CN13" s="72" t="s">
        <v>327</v>
      </c>
      <c r="CO13" s="72" t="s">
        <v>328</v>
      </c>
      <c r="CP13" s="72" t="s">
        <v>125</v>
      </c>
      <c r="CQ13" s="72" t="s">
        <v>126</v>
      </c>
      <c r="CR13" s="72" t="s">
        <v>329</v>
      </c>
      <c r="CS13" s="72" t="s">
        <v>127</v>
      </c>
      <c r="CT13" s="72" t="s">
        <v>128</v>
      </c>
      <c r="CU13" s="72" t="s">
        <v>129</v>
      </c>
      <c r="CV13" s="72" t="s">
        <v>444</v>
      </c>
    </row>
    <row r="14" s="225" customFormat="1" ht="12.75" customHeight="1">
      <c r="A14" s="247"/>
      <c r="B14" s="76" t="s">
        <v>131</v>
      </c>
      <c r="C14" s="76" t="s">
        <v>132</v>
      </c>
      <c r="D14" s="76" t="s">
        <v>133</v>
      </c>
      <c r="E14" s="77" t="s">
        <v>134</v>
      </c>
      <c r="F14" s="77" t="s">
        <v>135</v>
      </c>
      <c r="G14" s="78" t="s">
        <v>136</v>
      </c>
      <c r="H14" s="79" t="s">
        <v>137</v>
      </c>
      <c r="I14" s="79" t="s">
        <v>138</v>
      </c>
      <c r="J14" s="83" t="s">
        <v>336</v>
      </c>
      <c r="K14" s="81" t="s">
        <v>140</v>
      </c>
      <c r="L14" s="177" t="s">
        <v>141</v>
      </c>
      <c r="M14" s="81" t="s">
        <v>337</v>
      </c>
      <c r="N14" s="81" t="s">
        <v>475</v>
      </c>
      <c r="O14" s="177" t="s">
        <v>338</v>
      </c>
      <c r="P14" s="81" t="s">
        <v>339</v>
      </c>
      <c r="Q14" s="81" t="s">
        <v>142</v>
      </c>
      <c r="R14" s="177" t="s">
        <v>476</v>
      </c>
      <c r="S14" s="177" t="s">
        <v>343</v>
      </c>
      <c r="T14" s="81" t="s">
        <v>477</v>
      </c>
      <c r="U14" s="76" t="s">
        <v>143</v>
      </c>
      <c r="V14" s="77" t="s">
        <v>144</v>
      </c>
      <c r="W14" s="77" t="s">
        <v>145</v>
      </c>
      <c r="X14" s="79" t="s">
        <v>146</v>
      </c>
      <c r="Y14" s="83" t="s">
        <v>452</v>
      </c>
      <c r="Z14" s="81" t="s">
        <v>148</v>
      </c>
      <c r="AA14" s="177" t="s">
        <v>149</v>
      </c>
      <c r="AB14" s="81" t="s">
        <v>347</v>
      </c>
      <c r="AC14" s="81" t="s">
        <v>478</v>
      </c>
      <c r="AD14" s="177" t="s">
        <v>348</v>
      </c>
      <c r="AE14" s="177" t="s">
        <v>349</v>
      </c>
      <c r="AF14" s="177" t="s">
        <v>350</v>
      </c>
      <c r="AG14" s="177" t="s">
        <v>351</v>
      </c>
      <c r="AH14" s="81" t="s">
        <v>152</v>
      </c>
      <c r="AI14" s="81" t="s">
        <v>153</v>
      </c>
      <c r="AJ14" s="81" t="s">
        <v>154</v>
      </c>
      <c r="AK14" s="81" t="s">
        <v>155</v>
      </c>
      <c r="AL14" s="177" t="s">
        <v>247</v>
      </c>
      <c r="AM14" s="83" t="s">
        <v>479</v>
      </c>
      <c r="AN14" s="83" t="s">
        <v>480</v>
      </c>
      <c r="AO14" s="76" t="s">
        <v>481</v>
      </c>
      <c r="AP14" s="76" t="s">
        <v>158</v>
      </c>
      <c r="AQ14" s="185" t="s">
        <v>354</v>
      </c>
      <c r="AR14" s="85" t="s">
        <v>482</v>
      </c>
      <c r="AS14" s="86" t="s">
        <v>160</v>
      </c>
      <c r="AT14" s="179" t="s">
        <v>163</v>
      </c>
      <c r="AU14" s="86" t="s">
        <v>164</v>
      </c>
      <c r="AV14" s="90" t="s">
        <v>356</v>
      </c>
      <c r="AW14" s="89" t="s">
        <v>166</v>
      </c>
      <c r="AX14" s="85" t="s">
        <v>167</v>
      </c>
      <c r="AY14" s="86" t="s">
        <v>168</v>
      </c>
      <c r="AZ14" s="90" t="s">
        <v>169</v>
      </c>
      <c r="BA14" s="89" t="s">
        <v>170</v>
      </c>
      <c r="BB14" s="89" t="s">
        <v>171</v>
      </c>
      <c r="BC14" s="92" t="s">
        <v>357</v>
      </c>
      <c r="BD14" s="85" t="s">
        <v>483</v>
      </c>
      <c r="BE14" s="86" t="s">
        <v>174</v>
      </c>
      <c r="BF14" s="179" t="s">
        <v>177</v>
      </c>
      <c r="BG14" s="86" t="s">
        <v>178</v>
      </c>
      <c r="BH14" s="90" t="s">
        <v>359</v>
      </c>
      <c r="BI14" s="89" t="s">
        <v>180</v>
      </c>
      <c r="BJ14" s="85" t="s">
        <v>181</v>
      </c>
      <c r="BK14" s="86" t="s">
        <v>182</v>
      </c>
      <c r="BL14" s="90" t="s">
        <v>360</v>
      </c>
      <c r="BM14" s="89" t="s">
        <v>184</v>
      </c>
      <c r="BN14" s="89" t="s">
        <v>185</v>
      </c>
      <c r="BO14" s="92" t="s">
        <v>361</v>
      </c>
      <c r="BP14" s="92" t="s">
        <v>150</v>
      </c>
      <c r="BQ14" s="92" t="s">
        <v>362</v>
      </c>
      <c r="BR14" s="92" t="s">
        <v>363</v>
      </c>
      <c r="BS14" s="92" t="s">
        <v>364</v>
      </c>
      <c r="BT14" s="179" t="s">
        <v>365</v>
      </c>
      <c r="BU14" s="92" t="s">
        <v>366</v>
      </c>
      <c r="BV14" s="92" t="s">
        <v>367</v>
      </c>
      <c r="BW14" s="92" t="s">
        <v>484</v>
      </c>
      <c r="BX14" s="92" t="s">
        <v>368</v>
      </c>
      <c r="BY14" s="92" t="s">
        <v>485</v>
      </c>
      <c r="BZ14" s="85" t="s">
        <v>369</v>
      </c>
      <c r="CA14" s="177" t="s">
        <v>371</v>
      </c>
      <c r="CB14" s="92" t="s">
        <v>372</v>
      </c>
      <c r="CC14" s="92" t="s">
        <v>373</v>
      </c>
      <c r="CD14" s="92" t="s">
        <v>374</v>
      </c>
      <c r="CE14" s="184" t="s">
        <v>486</v>
      </c>
      <c r="CF14" s="177" t="s">
        <v>376</v>
      </c>
      <c r="CG14" s="177" t="s">
        <v>487</v>
      </c>
      <c r="CH14" s="85" t="s">
        <v>187</v>
      </c>
      <c r="CI14" s="85" t="s">
        <v>188</v>
      </c>
      <c r="CJ14" s="89" t="s">
        <v>189</v>
      </c>
      <c r="CK14" s="89" t="s">
        <v>190</v>
      </c>
      <c r="CL14" s="185" t="s">
        <v>191</v>
      </c>
      <c r="CM14" s="177" t="s">
        <v>192</v>
      </c>
      <c r="CN14" s="177" t="s">
        <v>377</v>
      </c>
      <c r="CO14" s="177" t="s">
        <v>378</v>
      </c>
      <c r="CP14" s="177" t="s">
        <v>193</v>
      </c>
      <c r="CQ14" s="90" t="s">
        <v>194</v>
      </c>
      <c r="CR14" s="92" t="s">
        <v>379</v>
      </c>
      <c r="CS14" s="88" t="s">
        <v>195</v>
      </c>
      <c r="CT14" s="93" t="s">
        <v>196</v>
      </c>
      <c r="CU14" s="93" t="s">
        <v>197</v>
      </c>
      <c r="CV14" s="77" t="s">
        <v>198</v>
      </c>
    </row>
    <row r="15" s="248" customFormat="1">
      <c r="A15" s="57" t="s">
        <v>26</v>
      </c>
      <c r="B15" s="186"/>
      <c r="C15" s="186"/>
      <c r="D15" s="186"/>
      <c r="E15" s="186"/>
      <c r="F15" s="186"/>
      <c r="G15" s="186"/>
      <c r="H15" s="186"/>
      <c r="I15" s="186"/>
      <c r="J15" s="249"/>
      <c r="K15" s="249"/>
      <c r="L15" s="249"/>
      <c r="M15" s="249"/>
      <c r="N15" s="249"/>
      <c r="O15" s="249"/>
      <c r="P15" s="249"/>
      <c r="Q15" s="249"/>
      <c r="R15" s="249"/>
      <c r="S15" s="249"/>
      <c r="T15" s="249"/>
      <c r="U15" s="249"/>
      <c r="V15" s="249"/>
      <c r="W15" s="249"/>
      <c r="X15" s="249"/>
      <c r="Y15" s="249"/>
      <c r="Z15" s="249"/>
      <c r="AA15" s="249"/>
      <c r="AB15" s="249"/>
      <c r="AC15" s="249"/>
      <c r="AD15" s="249"/>
      <c r="AE15" s="249"/>
      <c r="AF15" s="249"/>
      <c r="AG15" s="249"/>
      <c r="AH15" s="249"/>
      <c r="AI15" s="249"/>
      <c r="AJ15" s="249"/>
      <c r="AK15" s="249"/>
      <c r="AL15" s="250"/>
      <c r="AM15" s="250"/>
      <c r="AN15" s="225"/>
      <c r="AO15" s="225"/>
      <c r="AP15" s="249"/>
      <c r="AQ15" s="225"/>
      <c r="AR15" s="225"/>
      <c r="AS15" s="249"/>
      <c r="AT15" s="249"/>
      <c r="AU15" s="249"/>
      <c r="AV15" s="249"/>
      <c r="AW15" s="249"/>
      <c r="AX15" s="249"/>
      <c r="AY15" s="249"/>
      <c r="AZ15" s="249"/>
      <c r="BA15" s="249"/>
      <c r="BB15" s="249"/>
      <c r="BC15" s="249"/>
      <c r="BD15" s="249"/>
      <c r="BE15" s="249"/>
      <c r="BP15" s="249"/>
      <c r="BQ15" s="249"/>
      <c r="BR15" s="249"/>
      <c r="BS15" s="249"/>
      <c r="BT15" s="249"/>
      <c r="BU15" s="249"/>
      <c r="BV15" s="249"/>
      <c r="BW15" s="249"/>
      <c r="BX15" s="249"/>
      <c r="BY15" s="249"/>
      <c r="BZ15" s="249"/>
      <c r="CA15" s="249"/>
      <c r="CB15" s="249"/>
      <c r="CC15" s="249"/>
      <c r="CD15" s="249"/>
      <c r="CE15" s="249"/>
      <c r="CF15" s="249"/>
      <c r="CG15" s="249"/>
      <c r="CH15" s="249"/>
      <c r="CI15" s="249"/>
      <c r="CJ15" s="249"/>
      <c r="CK15" s="248"/>
      <c r="CL15" s="248"/>
      <c r="CM15" s="248"/>
      <c r="CN15" s="248"/>
      <c r="CO15" s="248"/>
      <c r="CP15" s="248"/>
      <c r="CQ15" s="248"/>
      <c r="CR15" s="248"/>
      <c r="CS15" s="248"/>
    </row>
    <row r="16"/>
  </sheetData>
  <mergeCells count="67">
    <mergeCell ref="CV11:CV12"/>
    <mergeCell ref="CS11:CS12"/>
    <mergeCell ref="CQ11:CQ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L11"/>
    <mergeCell ref="M11:N11"/>
    <mergeCell ref="O11:P11"/>
    <mergeCell ref="Q11:Q12"/>
    <mergeCell ref="R11:R12"/>
    <mergeCell ref="S11:T11"/>
    <mergeCell ref="U11:U12"/>
    <mergeCell ref="V11:V12"/>
    <mergeCell ref="W11:W12"/>
    <mergeCell ref="X11:X12"/>
    <mergeCell ref="Y11:Y12"/>
    <mergeCell ref="AS11:AS12"/>
    <mergeCell ref="AT11:AT12"/>
    <mergeCell ref="Z11:AA11"/>
    <mergeCell ref="AB11:AC11"/>
    <mergeCell ref="AD11:AE11"/>
    <mergeCell ref="AF11:AG11"/>
    <mergeCell ref="AH11:AI11"/>
    <mergeCell ref="AL11:AL12"/>
    <mergeCell ref="AJ11:AK11"/>
    <mergeCell ref="BO11:BO12"/>
    <mergeCell ref="BP11:BP12"/>
    <mergeCell ref="BQ11:BS11"/>
    <mergeCell ref="BX11:BY11"/>
    <mergeCell ref="BT11:BT12"/>
    <mergeCell ref="BD11:BD12"/>
    <mergeCell ref="BE11:BE12"/>
    <mergeCell ref="AM11:AM12"/>
    <mergeCell ref="BF11:BF12"/>
    <mergeCell ref="BM11:BN11"/>
    <mergeCell ref="BL11:BL12"/>
    <mergeCell ref="AN11:AN12"/>
    <mergeCell ref="AO11:AP11"/>
    <mergeCell ref="AQ11:AQ12"/>
    <mergeCell ref="AR11:AR12"/>
    <mergeCell ref="BG11:BK11"/>
    <mergeCell ref="AU11:AY11"/>
    <mergeCell ref="AZ11:AZ12"/>
    <mergeCell ref="BA11:BB11"/>
    <mergeCell ref="BC11:BC12"/>
    <mergeCell ref="CE11:CE12"/>
    <mergeCell ref="CM11:CO11"/>
    <mergeCell ref="BU11:BW11"/>
    <mergeCell ref="CF11:CF12"/>
    <mergeCell ref="CL11:CL12"/>
    <mergeCell ref="BZ11:BZ12"/>
    <mergeCell ref="CA11:CD11"/>
    <mergeCell ref="CT11:CT12"/>
    <mergeCell ref="CU11:CU12"/>
    <mergeCell ref="CR11:CR12"/>
    <mergeCell ref="CP11:CP12"/>
    <mergeCell ref="CG11:CG12"/>
    <mergeCell ref="CH11:CI11"/>
    <mergeCell ref="CJ11:CJ12"/>
    <mergeCell ref="CK11:CK1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2" operator="beginsWith" text="DU_" id="{00D1002F-0037-4A30-A927-0061007600F9}">
            <xm:f>LEFT(D14,LEN("DU_"))="DU_"</xm:f>
            <x14:dxf>
              <fill>
                <patternFill patternType="solid">
                  <fgColor theme="4" tint="0.59996337778862885"/>
                  <bgColor theme="4" tint="0.59996337778862885"/>
                </patternFill>
              </fill>
            </x14:dxf>
          </x14:cfRule>
          <xm:sqref>D14:D65534</xm:sqref>
        </x14:conditionalFormatting>
        <x14:conditionalFormatting xmlns:xm="http://schemas.microsoft.com/office/excel/2006/main">
          <x14:cfRule type="beginsWith" priority="1" operator="beginsWith" text="ARNU_DU" id="{00BD0017-0002-4F48-A6D7-00150032003D}">
            <xm:f>LEFT(U14,LEN("ARNU_DU"))="ARNU_DU"</xm:f>
            <x14:dxf>
              <fill>
                <patternFill patternType="solid">
                  <fgColor theme="4" tint="0.59996337778862885"/>
                  <bgColor theme="4" tint="0.59996337778862885"/>
                </patternFill>
              </fill>
            </x14:dxf>
          </x14:cfRule>
          <xm:sqref>U14:U65534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6">
    <outlinePr applyStyles="0" summaryBelow="1" summaryRight="1" showOutlineSymbols="1"/>
    <pageSetUpPr autoPageBreaks="1" fitToPage="0"/>
  </sheetPr>
  <sheetViews>
    <sheetView zoomScale="100" workbookViewId="0">
      <selection activeCell="B9" activeCellId="0" sqref="B9"/>
    </sheetView>
  </sheetViews>
  <sheetFormatPr defaultRowHeight="12.75"/>
  <cols>
    <col customWidth="1" min="1" max="1" width="6.5703125"/>
    <col customWidth="1" min="2" max="2" width="6.42578125"/>
    <col customWidth="1" min="3" max="3" width="7.85546875"/>
    <col customWidth="1" min="4" max="4" width="17.85546875"/>
    <col customWidth="1" min="5" max="5" width="17.42578125"/>
    <col customWidth="1" min="6" max="6" width="13.28515625"/>
    <col customWidth="1" min="7" max="7" width="14.7109375"/>
    <col bestFit="1" customWidth="1" min="8" max="10" width="17"/>
    <col customWidth="1" min="11" max="11" width="14.140625"/>
    <col customWidth="1" min="12" max="12" width="17.42578125"/>
    <col customWidth="1" min="13" max="14" width="17.85546875"/>
    <col customWidth="1" min="15" max="15" width="18"/>
    <col customWidth="1" min="16" max="16" width="19.140625"/>
    <col customWidth="1" min="17" max="17" width="17.85546875"/>
    <col customWidth="1" min="18" max="18" width="19.140625"/>
    <col customWidth="1" min="19" max="19" width="18.42578125"/>
    <col customWidth="1" min="20" max="20" width="18.85546875"/>
    <col customWidth="1" min="21" max="21" width="18.28515625"/>
    <col customWidth="1" min="22" max="22" width="16.85546875"/>
    <col customWidth="1" min="23" max="24" width="15.5703125"/>
    <col customWidth="1" min="25" max="25" width="13.42578125"/>
  </cols>
  <sheetData>
    <row r="1">
      <c r="A1" s="96" t="s">
        <v>199</v>
      </c>
      <c r="C1" s="251" t="s">
        <v>200</v>
      </c>
      <c r="D1" s="193"/>
      <c r="E1" s="99"/>
      <c r="H1" s="99"/>
      <c r="I1" s="99"/>
    </row>
    <row r="2" ht="13.5">
      <c r="A2" s="96" t="s">
        <v>201</v>
      </c>
      <c r="C2" s="100" t="s">
        <v>202</v>
      </c>
      <c r="D2" s="100" t="s">
        <v>29</v>
      </c>
      <c r="E2" s="99"/>
      <c r="H2" s="99"/>
      <c r="I2" s="99"/>
    </row>
    <row r="3" ht="13.5">
      <c r="C3" s="100"/>
      <c r="D3" s="99"/>
      <c r="E3" s="99"/>
      <c r="H3" s="99"/>
      <c r="I3" s="99"/>
    </row>
    <row r="4" ht="13.5">
      <c r="C4" s="100"/>
      <c r="D4" s="99"/>
      <c r="E4" s="99"/>
      <c r="H4" s="99"/>
      <c r="I4" s="99"/>
    </row>
    <row r="5" ht="13.5">
      <c r="B5" s="100"/>
      <c r="C5" s="100"/>
      <c r="D5" s="99"/>
      <c r="E5" s="99"/>
      <c r="H5" s="99"/>
      <c r="I5" s="99"/>
    </row>
    <row r="6" ht="13.5">
      <c r="B6" s="100"/>
      <c r="D6" s="99"/>
      <c r="E6" s="99"/>
      <c r="H6" s="99"/>
      <c r="I6" s="99"/>
    </row>
    <row r="7" s="101" customFormat="1" ht="13.699999999999999" customHeight="1">
      <c r="A7" s="102" t="s">
        <v>204</v>
      </c>
      <c r="B7" s="100"/>
      <c r="C7" s="103"/>
      <c r="D7" s="99"/>
      <c r="E7" s="99"/>
      <c r="F7" s="103"/>
      <c r="G7" s="103"/>
      <c r="H7" s="99"/>
      <c r="I7" s="99"/>
      <c r="J7" s="104"/>
      <c r="K7" s="104"/>
      <c r="N7" s="104"/>
      <c r="Q7" s="103"/>
      <c r="R7" s="104"/>
      <c r="S7" s="104"/>
      <c r="U7" s="104"/>
    </row>
    <row r="8" s="105" customFormat="1" ht="13.5">
      <c r="A8" s="106" t="s">
        <v>205</v>
      </c>
      <c r="B8" s="97" t="s">
        <v>206</v>
      </c>
      <c r="D8" s="99"/>
      <c r="E8" s="99"/>
      <c r="H8" s="99"/>
      <c r="I8" s="99"/>
    </row>
    <row r="9" s="108" customFormat="1" ht="13.5">
      <c r="A9" s="106" t="s">
        <v>8</v>
      </c>
      <c r="B9" s="97" t="s">
        <v>207</v>
      </c>
      <c r="D9" s="99"/>
      <c r="E9" s="99"/>
      <c r="H9" s="99"/>
      <c r="I9" s="99"/>
      <c r="K9" s="147"/>
    </row>
    <row r="10" s="109" customFormat="1">
      <c r="A10" s="110"/>
      <c r="B10" s="111"/>
      <c r="C10" s="108"/>
      <c r="D10" s="99"/>
      <c r="E10" s="99"/>
      <c r="F10" s="108"/>
      <c r="G10" s="108"/>
      <c r="H10" s="99"/>
      <c r="I10" s="99"/>
      <c r="J10" s="108"/>
      <c r="K10" s="117"/>
      <c r="N10" s="113"/>
      <c r="Q10" s="112"/>
      <c r="R10" s="113"/>
      <c r="S10" s="113"/>
      <c r="U10" s="113"/>
    </row>
    <row r="11" s="109" customFormat="1">
      <c r="B11" s="114"/>
      <c r="C11" s="108"/>
      <c r="D11" s="99"/>
      <c r="E11" s="99"/>
      <c r="F11" s="108"/>
      <c r="G11" s="108"/>
      <c r="H11" s="99"/>
      <c r="I11" s="99"/>
      <c r="J11" s="108"/>
      <c r="K11" s="117"/>
      <c r="N11" s="113"/>
      <c r="Q11" s="112"/>
      <c r="R11" s="113"/>
      <c r="S11" s="113"/>
      <c r="U11" s="113"/>
    </row>
    <row r="12" s="109" customFormat="1">
      <c r="A12" s="115" t="s">
        <v>208</v>
      </c>
      <c r="B12" s="114"/>
      <c r="C12" s="108"/>
      <c r="D12" s="99"/>
      <c r="E12" s="99"/>
      <c r="F12" s="108"/>
      <c r="G12" s="108"/>
      <c r="H12" s="99"/>
      <c r="I12" s="99"/>
      <c r="J12" s="108"/>
      <c r="K12" s="117"/>
      <c r="N12" s="113"/>
      <c r="Q12" s="112"/>
      <c r="R12" s="113"/>
      <c r="S12" s="113"/>
      <c r="U12" s="113"/>
    </row>
    <row r="13" s="109" customFormat="1">
      <c r="A13" s="95" t="s">
        <v>488</v>
      </c>
      <c r="B13" s="114"/>
      <c r="C13" s="108"/>
      <c r="D13" s="99"/>
      <c r="E13" s="99"/>
      <c r="F13" s="108"/>
      <c r="G13" s="108"/>
      <c r="H13" s="99"/>
      <c r="I13" s="99"/>
      <c r="J13" s="108"/>
      <c r="K13" s="117"/>
      <c r="N13" s="113"/>
      <c r="Q13" s="112"/>
      <c r="R13" s="113"/>
      <c r="S13" s="113"/>
      <c r="U13" s="113"/>
    </row>
    <row r="14" s="109" customFormat="1" ht="12.75" customHeight="1">
      <c r="A14" s="70"/>
      <c r="B14" s="116"/>
      <c r="C14" s="112"/>
      <c r="D14" s="99"/>
      <c r="E14" s="99"/>
      <c r="F14" s="112"/>
      <c r="G14" s="117"/>
      <c r="H14" s="99"/>
      <c r="I14" s="99"/>
      <c r="J14" s="113"/>
      <c r="K14" s="113"/>
      <c r="P14" s="112"/>
      <c r="Q14" s="112"/>
      <c r="R14" s="113"/>
      <c r="S14" s="113"/>
      <c r="U14" s="113"/>
    </row>
    <row r="15" s="109" customFormat="1" ht="12.75" customHeight="1">
      <c r="A15" s="96" t="s">
        <v>17</v>
      </c>
      <c r="B15" s="116"/>
      <c r="C15" s="112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</row>
    <row r="16" s="95" customFormat="1" ht="13.5">
      <c r="A16" s="96" t="s">
        <v>210</v>
      </c>
      <c r="B16" s="118" t="s">
        <v>211</v>
      </c>
      <c r="C16" s="11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120"/>
      <c r="AW16" s="113"/>
    </row>
    <row r="17" s="95" customFormat="1" ht="12.75" customHeight="1">
      <c r="A17" s="96" t="s">
        <v>212</v>
      </c>
      <c r="B17" s="118" t="s">
        <v>213</v>
      </c>
      <c r="C17" s="70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120"/>
    </row>
    <row r="18" s="95" customFormat="1" ht="13.5">
      <c r="A18" s="106" t="s">
        <v>214</v>
      </c>
      <c r="B18" s="122"/>
      <c r="D18" s="123" t="s">
        <v>215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120"/>
    </row>
    <row r="19" s="109" customFormat="1" ht="13.5">
      <c r="A19" s="106" t="s">
        <v>216</v>
      </c>
      <c r="B19" s="124"/>
      <c r="C19" s="112"/>
      <c r="D19" s="123" t="s">
        <v>217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</row>
    <row r="20" s="109" customFormat="1" ht="13.5">
      <c r="A20" s="106"/>
      <c r="B20" s="124"/>
      <c r="C20" s="125"/>
      <c r="D20" s="156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</row>
    <row r="21"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</row>
    <row r="22" ht="13.5">
      <c r="A22" s="125"/>
      <c r="B22" s="125"/>
      <c r="C22" s="125"/>
      <c r="D22" s="125"/>
      <c r="E22" s="126"/>
      <c r="F22" s="126"/>
      <c r="G22" s="126"/>
      <c r="H22" s="126"/>
      <c r="I22" s="126"/>
      <c r="J22" s="126"/>
      <c r="K22" s="126"/>
      <c r="L22" s="127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</row>
    <row r="23" ht="42.75" customHeight="1">
      <c r="A23" s="128" t="s">
        <v>218</v>
      </c>
      <c r="B23" s="128" t="s">
        <v>68</v>
      </c>
      <c r="C23" s="128" t="s">
        <v>219</v>
      </c>
      <c r="D23" s="128" t="s">
        <v>31</v>
      </c>
      <c r="E23" s="128" t="s">
        <v>220</v>
      </c>
      <c r="F23" s="128" t="s">
        <v>221</v>
      </c>
      <c r="G23" s="128" t="s">
        <v>222</v>
      </c>
      <c r="H23" s="128" t="s">
        <v>223</v>
      </c>
      <c r="I23" s="129" t="s">
        <v>224</v>
      </c>
      <c r="J23" s="129"/>
      <c r="K23" s="129"/>
      <c r="L23" s="128" t="s">
        <v>35</v>
      </c>
      <c r="M23" s="129" t="s">
        <v>257</v>
      </c>
      <c r="N23" s="129" t="s">
        <v>226</v>
      </c>
      <c r="O23" s="129" t="s">
        <v>392</v>
      </c>
      <c r="P23" s="129" t="s">
        <v>393</v>
      </c>
      <c r="Q23" s="129" t="s">
        <v>258</v>
      </c>
      <c r="R23" s="129" t="s">
        <v>394</v>
      </c>
      <c r="S23" s="252" t="s">
        <v>395</v>
      </c>
      <c r="T23" s="252" t="s">
        <v>396</v>
      </c>
      <c r="U23" s="252" t="s">
        <v>397</v>
      </c>
      <c r="V23" s="252" t="s">
        <v>489</v>
      </c>
      <c r="W23" s="252" t="s">
        <v>490</v>
      </c>
      <c r="X23" s="252" t="s">
        <v>283</v>
      </c>
      <c r="Y23" s="128" t="s">
        <v>72</v>
      </c>
    </row>
    <row r="24" ht="59.25" customHeight="1">
      <c r="A24" s="130"/>
      <c r="B24" s="130"/>
      <c r="C24" s="130"/>
      <c r="D24" s="130"/>
      <c r="E24" s="131"/>
      <c r="F24" s="131"/>
      <c r="G24" s="131"/>
      <c r="H24" s="131"/>
      <c r="I24" s="129" t="s">
        <v>229</v>
      </c>
      <c r="J24" s="129" t="s">
        <v>400</v>
      </c>
      <c r="K24" s="129" t="s">
        <v>401</v>
      </c>
      <c r="L24" s="131"/>
      <c r="M24" s="129"/>
      <c r="N24" s="129"/>
      <c r="O24" s="129"/>
      <c r="P24" s="129"/>
      <c r="Q24" s="129"/>
      <c r="R24" s="129"/>
      <c r="S24" s="253"/>
      <c r="T24" s="253"/>
      <c r="U24" s="253"/>
      <c r="V24" s="253"/>
      <c r="W24" s="253"/>
      <c r="X24" s="253"/>
      <c r="Y24" s="130"/>
    </row>
    <row r="25" s="196" customFormat="1" ht="25.5" customHeight="1">
      <c r="A25" s="131"/>
      <c r="B25" s="197"/>
      <c r="C25" s="197"/>
      <c r="D25" s="197"/>
      <c r="E25" s="197" t="s">
        <v>231</v>
      </c>
      <c r="F25" s="197" t="s">
        <v>491</v>
      </c>
      <c r="G25" s="197" t="s">
        <v>492</v>
      </c>
      <c r="H25" s="197" t="s">
        <v>493</v>
      </c>
      <c r="I25" s="198" t="s">
        <v>235</v>
      </c>
      <c r="J25" s="198" t="s">
        <v>404</v>
      </c>
      <c r="K25" s="198" t="s">
        <v>405</v>
      </c>
      <c r="L25" s="197" t="s">
        <v>236</v>
      </c>
      <c r="M25" s="198" t="s">
        <v>412</v>
      </c>
      <c r="N25" s="198" t="s">
        <v>494</v>
      </c>
      <c r="O25" s="198" t="s">
        <v>239</v>
      </c>
      <c r="P25" s="198" t="s">
        <v>408</v>
      </c>
      <c r="Q25" s="198" t="s">
        <v>495</v>
      </c>
      <c r="R25" s="198" t="s">
        <v>496</v>
      </c>
      <c r="S25" s="254" t="s">
        <v>233</v>
      </c>
      <c r="T25" s="254" t="s">
        <v>497</v>
      </c>
      <c r="U25" s="255" t="s">
        <v>240</v>
      </c>
      <c r="V25" s="254" t="s">
        <v>498</v>
      </c>
      <c r="W25" s="254" t="s">
        <v>414</v>
      </c>
      <c r="X25" s="254" t="s">
        <v>329</v>
      </c>
      <c r="Y25" s="197"/>
    </row>
    <row r="26">
      <c r="A26" s="131" t="s">
        <v>241</v>
      </c>
      <c r="B26" s="131" t="s">
        <v>242</v>
      </c>
      <c r="C26" s="131" t="s">
        <v>243</v>
      </c>
      <c r="D26" s="131">
        <v>1</v>
      </c>
      <c r="E26" s="131">
        <v>2</v>
      </c>
      <c r="F26" s="131">
        <v>3</v>
      </c>
      <c r="G26" s="131">
        <v>4</v>
      </c>
      <c r="H26" s="131">
        <v>5</v>
      </c>
      <c r="I26" s="131">
        <v>6</v>
      </c>
      <c r="J26" s="131">
        <v>7</v>
      </c>
      <c r="K26" s="131">
        <v>8</v>
      </c>
      <c r="L26" s="131">
        <v>9</v>
      </c>
      <c r="M26" s="131">
        <v>10</v>
      </c>
      <c r="N26" s="131">
        <v>11</v>
      </c>
      <c r="O26" s="131">
        <v>12</v>
      </c>
      <c r="P26" s="131">
        <v>13</v>
      </c>
      <c r="Q26" s="129">
        <v>14</v>
      </c>
      <c r="R26" s="129">
        <v>15</v>
      </c>
      <c r="S26" s="256">
        <v>16</v>
      </c>
      <c r="T26" s="256">
        <v>17</v>
      </c>
      <c r="U26" s="256">
        <v>18</v>
      </c>
      <c r="V26" s="256">
        <v>19</v>
      </c>
      <c r="W26" s="256">
        <v>20</v>
      </c>
      <c r="X26" s="256">
        <v>21</v>
      </c>
      <c r="Y26" s="131" t="s">
        <v>244</v>
      </c>
    </row>
    <row r="27">
      <c r="A27" s="257" t="s">
        <v>245</v>
      </c>
      <c r="B27" s="93" t="s">
        <v>191</v>
      </c>
      <c r="C27" s="76" t="s">
        <v>131</v>
      </c>
      <c r="D27" s="76" t="s">
        <v>132</v>
      </c>
      <c r="E27" s="138" t="s">
        <v>193</v>
      </c>
      <c r="F27" s="138" t="s">
        <v>348</v>
      </c>
      <c r="G27" s="138" t="s">
        <v>142</v>
      </c>
      <c r="H27" s="138" t="s">
        <v>246</v>
      </c>
      <c r="I27" s="138" t="s">
        <v>192</v>
      </c>
      <c r="J27" s="138" t="s">
        <v>377</v>
      </c>
      <c r="K27" s="138" t="s">
        <v>378</v>
      </c>
      <c r="L27" s="139" t="s">
        <v>136</v>
      </c>
      <c r="M27" s="138" t="s">
        <v>415</v>
      </c>
      <c r="N27" s="138" t="s">
        <v>247</v>
      </c>
      <c r="O27" s="138" t="s">
        <v>140</v>
      </c>
      <c r="P27" s="138" t="s">
        <v>376</v>
      </c>
      <c r="Q27" s="138" t="s">
        <v>340</v>
      </c>
      <c r="R27" s="138" t="s">
        <v>339</v>
      </c>
      <c r="S27" s="138" t="s">
        <v>337</v>
      </c>
      <c r="T27" s="138" t="s">
        <v>347</v>
      </c>
      <c r="U27" s="138" t="s">
        <v>343</v>
      </c>
      <c r="V27" s="138" t="s">
        <v>416</v>
      </c>
      <c r="W27" s="138" t="s">
        <v>484</v>
      </c>
      <c r="X27" s="138" t="s">
        <v>379</v>
      </c>
      <c r="Y27" s="76" t="s">
        <v>195</v>
      </c>
    </row>
    <row r="28" ht="13.5">
      <c r="B28" s="140"/>
      <c r="C28" s="140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</row>
    <row r="29" ht="13.5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Q29" s="110"/>
      <c r="R29" s="110"/>
      <c r="S29" s="110"/>
      <c r="T29" s="110"/>
      <c r="U29" s="141"/>
      <c r="V29" s="199"/>
    </row>
    <row r="30">
      <c r="U30" s="70"/>
      <c r="V30" s="199"/>
    </row>
    <row r="31" s="199" customFormat="1" ht="12">
      <c r="U31" s="199"/>
    </row>
    <row r="32" s="199" customFormat="1" ht="12"/>
    <row r="33" s="199" customFormat="1">
      <c r="A33" s="200"/>
      <c r="F33" s="95"/>
      <c r="G33" s="95"/>
    </row>
    <row r="34" s="199" customFormat="1" ht="12">
      <c r="A34" s="200"/>
    </row>
    <row r="35" s="199" customFormat="1" ht="12">
      <c r="A35" s="200"/>
    </row>
    <row r="36">
      <c r="B36" s="199"/>
    </row>
  </sheetData>
  <mergeCells count="25">
    <mergeCell ref="R23:R24"/>
    <mergeCell ref="G23:G24"/>
    <mergeCell ref="A23:A25"/>
    <mergeCell ref="B23:B24"/>
    <mergeCell ref="C23:C24"/>
    <mergeCell ref="D23:D24"/>
    <mergeCell ref="E23:E24"/>
    <mergeCell ref="F23:F24"/>
    <mergeCell ref="W23:W24"/>
    <mergeCell ref="U23:U24"/>
    <mergeCell ref="V23:V24"/>
    <mergeCell ref="Y23:Y24"/>
    <mergeCell ref="S23:S24"/>
    <mergeCell ref="T23:T24"/>
    <mergeCell ref="X23:X24"/>
    <mergeCell ref="B16:C16"/>
    <mergeCell ref="B17:C17"/>
    <mergeCell ref="O23:O24"/>
    <mergeCell ref="P23:P24"/>
    <mergeCell ref="Q23:Q24"/>
    <mergeCell ref="H23:H24"/>
    <mergeCell ref="I23:K23"/>
    <mergeCell ref="L23:L24"/>
    <mergeCell ref="M23:M24"/>
    <mergeCell ref="N23:N2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8">
    <outlinePr applyStyles="0" summaryBelow="1" summaryRight="1" showOutlineSymbols="1"/>
    <pageSetUpPr autoPageBreaks="1" fitToPage="0"/>
  </sheetPr>
  <sheetViews>
    <sheetView topLeftCell="AH1" zoomScale="100" workbookViewId="0">
      <selection activeCell="A1" activeCellId="0" sqref="A1"/>
    </sheetView>
  </sheetViews>
  <sheetFormatPr defaultColWidth="9.140625" defaultRowHeight="12.75" outlineLevelRow="1"/>
  <cols>
    <col customWidth="1" min="1" max="1" style="144" width="3.42578125"/>
    <col customWidth="1" min="2" max="2" style="144" width="16.7109375"/>
    <col customWidth="1" min="3" max="3" style="144" width="30.7109375"/>
    <col customWidth="1" min="4" max="4" style="144" width="15.7109375"/>
    <col customWidth="1" min="5" max="5" style="144" width="9.42578125"/>
    <col bestFit="1" customWidth="1" min="6" max="6" style="144" width="17"/>
    <col customWidth="1" min="7" max="7" style="144" width="9.85546875"/>
    <col bestFit="1" customWidth="1" min="8" max="8" style="144" width="10.7109375"/>
    <col bestFit="1" customWidth="1" min="9" max="9" style="144" width="19.5703125"/>
    <col customWidth="1" min="10" max="11" style="144" width="9.85546875"/>
    <col customWidth="1" min="12" max="12" style="202" width="10"/>
    <col customWidth="1" min="13" max="13" style="203" width="10.28515625"/>
    <col customWidth="1" min="14" max="14" style="203" width="10.5703125"/>
    <col customWidth="1" min="15" max="15" style="203" width="14.85546875"/>
    <col customWidth="1" min="16" max="16" style="203" width="10.5703125"/>
    <col customWidth="1" min="17" max="17" style="203" width="18.5703125"/>
    <col customWidth="1" min="18" max="18" style="203" width="10.5703125"/>
    <col customWidth="1" min="19" max="20" style="203" width="12.85546875"/>
    <col customWidth="1" min="21" max="21" style="203" width="17.7109375"/>
    <col customWidth="1" min="22" max="22" style="203" width="11.140625"/>
    <col customWidth="1" min="23" max="23" style="203" width="9.42578125"/>
    <col customWidth="1" min="24" max="24" style="144" width="10.7109375"/>
    <col customWidth="1" min="25" max="25" style="203" width="12.85546875"/>
    <col customWidth="1" min="26" max="27" style="144" width="9.85546875"/>
    <col customWidth="1" min="28" max="28" style="144" width="10.7109375"/>
    <col customWidth="1" min="29" max="29" style="144" width="9.85546875"/>
    <col customWidth="1" min="30" max="31" style="202" width="10.140625"/>
    <col customWidth="1" min="32" max="32" style="144" width="9.7109375"/>
    <col customWidth="1" min="33" max="33" style="144" width="11.28515625"/>
    <col customWidth="1" min="34" max="34" style="144" width="13.28515625"/>
    <col customWidth="1" min="35" max="35" style="203" width="10"/>
    <col customWidth="1" min="36" max="36" style="203" width="8.42578125"/>
    <col customWidth="1" min="37" max="37" style="203" width="9.85546875"/>
    <col customWidth="1" min="38" max="38" style="144" width="11.28515625"/>
    <col customWidth="1" min="39" max="39" style="144" width="10.5703125"/>
    <col customWidth="1" min="40" max="41" style="144" width="12"/>
    <col customWidth="1" min="42" max="42" style="144" width="17.5703125"/>
    <col customWidth="1" min="43" max="44" style="101" width="8.42578125"/>
    <col customWidth="1" min="45" max="45" style="101" width="7.85546875"/>
    <col customWidth="1" min="46" max="46" style="101" width="8.85546875"/>
    <col customWidth="1" min="47" max="47" style="144" width="11"/>
    <col customWidth="1" min="48" max="48" style="144" width="9.7109375"/>
    <col customWidth="1" min="49" max="49" style="144" width="9.5703125"/>
    <col customWidth="1" min="50" max="50" style="144" width="14.28515625"/>
    <col customWidth="1" min="51" max="51" style="101" width="13"/>
    <col customWidth="1" min="52" max="52" style="144" width="14.5703125"/>
    <col customWidth="1" min="53" max="53" style="144" width="7.85546875"/>
    <col customWidth="1" min="54" max="54" style="144" width="11.5703125"/>
    <col customWidth="1" min="55" max="55" style="144" width="9.140625"/>
    <col customWidth="1" min="56" max="56" style="144" width="11.42578125"/>
    <col customWidth="1" min="57" max="58" style="144" width="9.140625"/>
    <col customWidth="1" min="59" max="59" style="144" width="10.85546875"/>
    <col customWidth="1" min="60" max="60" style="144" width="10.28515625"/>
    <col customWidth="1" min="61" max="61" style="144" width="10"/>
    <col min="62" max="16384" style="144" width="9.140625"/>
  </cols>
  <sheetData>
    <row r="1" s="1" customFormat="1">
      <c r="A1" s="2"/>
      <c r="B1" s="3" t="s">
        <v>0</v>
      </c>
      <c r="C1" s="4" t="s">
        <v>417</v>
      </c>
      <c r="D1" s="3" t="s">
        <v>2</v>
      </c>
      <c r="E1" s="5" t="s">
        <v>499</v>
      </c>
      <c r="F1" s="3" t="s">
        <v>4</v>
      </c>
      <c r="G1" s="5" t="s">
        <v>5</v>
      </c>
      <c r="H1" s="3" t="s">
        <v>6</v>
      </c>
      <c r="I1" s="6" t="s">
        <v>7</v>
      </c>
      <c r="J1" s="3" t="s">
        <v>8</v>
      </c>
      <c r="K1" s="5" t="s">
        <v>9</v>
      </c>
      <c r="L1" s="3" t="s">
        <v>10</v>
      </c>
      <c r="M1" s="5" t="s">
        <v>11</v>
      </c>
      <c r="N1" s="3" t="s">
        <v>12</v>
      </c>
      <c r="O1" s="5" t="s">
        <v>13</v>
      </c>
      <c r="Q1" s="7"/>
      <c r="R1" s="8"/>
      <c r="T1" s="7"/>
      <c r="U1" s="9"/>
      <c r="V1" s="9"/>
      <c r="W1" s="9"/>
      <c r="Z1" s="10"/>
      <c r="AA1" s="10"/>
      <c r="AB1" s="7"/>
      <c r="AC1" s="7"/>
      <c r="AE1" s="11"/>
      <c r="AF1" s="11"/>
    </row>
    <row r="2" s="12" customFormat="1" ht="18.75">
      <c r="B2" s="13" t="s">
        <v>14</v>
      </c>
      <c r="D2" s="14"/>
      <c r="E2" s="14"/>
      <c r="F2" s="15"/>
      <c r="G2" s="15"/>
      <c r="H2" s="15"/>
      <c r="I2" s="15"/>
      <c r="J2" s="15"/>
      <c r="K2" s="15"/>
      <c r="L2" s="15"/>
      <c r="M2" s="16"/>
      <c r="N2" s="16"/>
      <c r="O2" s="17"/>
      <c r="P2" s="16"/>
      <c r="Q2" s="17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9"/>
    </row>
    <row r="3" s="12" customFormat="1" ht="15" customHeight="1">
      <c r="B3" s="20" t="s">
        <v>419</v>
      </c>
      <c r="D3" s="14"/>
      <c r="E3" s="14"/>
      <c r="F3" s="21"/>
      <c r="G3" s="21"/>
      <c r="H3" s="15"/>
      <c r="I3" s="15"/>
      <c r="J3" s="15"/>
      <c r="K3" s="15"/>
      <c r="L3" s="15"/>
      <c r="M3" s="16"/>
      <c r="N3" s="16"/>
      <c r="O3" s="17"/>
      <c r="P3" s="16"/>
      <c r="Q3" s="17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9"/>
    </row>
    <row r="4" s="12" customFormat="1" ht="18.75">
      <c r="B4" s="22" t="s">
        <v>420</v>
      </c>
      <c r="C4" s="23"/>
      <c r="D4" s="24"/>
      <c r="E4" s="24"/>
      <c r="F4" s="25"/>
      <c r="G4" s="25"/>
      <c r="H4" s="15"/>
      <c r="I4" s="15"/>
      <c r="J4" s="15"/>
      <c r="K4" s="15"/>
      <c r="L4" s="15"/>
      <c r="M4" s="25"/>
      <c r="N4" s="25"/>
      <c r="O4" s="26"/>
      <c r="P4" s="25"/>
      <c r="Q4" s="26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9"/>
    </row>
    <row r="5" s="12" customFormat="1" ht="19.5" customHeight="1">
      <c r="B5" s="27" t="s">
        <v>17</v>
      </c>
      <c r="C5" s="28" t="s">
        <v>421</v>
      </c>
      <c r="E5" s="29"/>
      <c r="F5" s="30"/>
      <c r="G5" s="30"/>
      <c r="H5" s="15"/>
      <c r="I5" s="15"/>
      <c r="J5" s="15"/>
      <c r="K5" s="15"/>
      <c r="L5" s="15"/>
      <c r="M5" s="27"/>
      <c r="N5" s="27"/>
      <c r="O5" s="31"/>
      <c r="P5" s="27"/>
      <c r="Q5" s="31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9"/>
    </row>
    <row r="6" s="18" customFormat="1">
      <c r="B6" s="32" t="s">
        <v>19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4" t="s">
        <v>423</v>
      </c>
      <c r="R6" s="33"/>
      <c r="S6" s="33"/>
      <c r="T6" s="33"/>
      <c r="U6" s="34" t="s">
        <v>500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P6" s="34" t="s">
        <v>501</v>
      </c>
    </row>
    <row r="7" s="35" customFormat="1" ht="15.75">
      <c r="B7" s="36" t="s">
        <v>22</v>
      </c>
      <c r="L7" s="204">
        <v>0</v>
      </c>
      <c r="M7" s="205" t="s">
        <v>23</v>
      </c>
      <c r="N7" s="206" t="s">
        <v>23</v>
      </c>
      <c r="O7" s="206">
        <v>0</v>
      </c>
      <c r="P7" s="206">
        <v>0</v>
      </c>
      <c r="Q7" s="206">
        <v>0</v>
      </c>
      <c r="R7" s="258">
        <v>0</v>
      </c>
      <c r="S7" s="206">
        <v>0</v>
      </c>
      <c r="T7" s="206">
        <v>0</v>
      </c>
      <c r="U7" s="206">
        <v>0</v>
      </c>
      <c r="V7" s="206" t="s">
        <v>23</v>
      </c>
      <c r="W7" s="207" t="s">
        <v>23</v>
      </c>
      <c r="X7" s="208" t="s">
        <v>23</v>
      </c>
      <c r="Y7" s="206">
        <v>0</v>
      </c>
      <c r="Z7" s="206">
        <v>0</v>
      </c>
      <c r="AA7" s="206">
        <v>0</v>
      </c>
      <c r="AB7" s="259" t="s">
        <v>23</v>
      </c>
      <c r="AC7" s="208" t="s">
        <v>23</v>
      </c>
      <c r="AD7" s="208" t="s">
        <v>23</v>
      </c>
      <c r="AE7" s="205" t="s">
        <v>23</v>
      </c>
      <c r="AF7" s="240" t="s">
        <v>23</v>
      </c>
      <c r="AG7" s="205" t="s">
        <v>23</v>
      </c>
      <c r="AH7" s="206">
        <v>0</v>
      </c>
      <c r="AI7" s="205" t="s">
        <v>23</v>
      </c>
      <c r="AJ7" s="207" t="s">
        <v>23</v>
      </c>
      <c r="AK7" s="208" t="s">
        <v>23</v>
      </c>
      <c r="AL7" s="206">
        <v>0</v>
      </c>
      <c r="AM7" s="206">
        <v>0</v>
      </c>
      <c r="AN7" s="206">
        <v>0</v>
      </c>
      <c r="AO7" s="206">
        <v>0</v>
      </c>
      <c r="AP7" s="206">
        <v>0</v>
      </c>
      <c r="AQ7" s="260" t="s">
        <v>23</v>
      </c>
      <c r="AR7" s="260" t="s">
        <v>23</v>
      </c>
      <c r="AS7" s="261" t="s">
        <v>23</v>
      </c>
      <c r="AT7" s="261" t="s">
        <v>23</v>
      </c>
      <c r="AU7" s="262" t="s">
        <v>23</v>
      </c>
      <c r="AV7" s="262" t="s">
        <v>23</v>
      </c>
      <c r="AW7" s="263" t="s">
        <v>23</v>
      </c>
      <c r="AX7" s="206">
        <v>0</v>
      </c>
      <c r="AY7" s="206">
        <v>0</v>
      </c>
      <c r="AZ7" s="206">
        <v>0</v>
      </c>
      <c r="BA7" s="210" t="s">
        <v>23</v>
      </c>
      <c r="BB7" s="210" t="s">
        <v>23</v>
      </c>
      <c r="BC7" s="208" t="s">
        <v>23</v>
      </c>
    </row>
    <row r="8" s="35" customFormat="1" ht="15" customHeight="1" outlineLevel="1">
      <c r="B8" s="55" t="s">
        <v>24</v>
      </c>
      <c r="C8" s="57" t="s">
        <v>25</v>
      </c>
      <c r="D8" s="56" t="s">
        <v>26</v>
      </c>
      <c r="E8" s="58" t="s">
        <v>27</v>
      </c>
    </row>
    <row r="9" s="211" customFormat="1" ht="15" customHeight="1" outlineLevel="1"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</row>
    <row r="10" s="35" customFormat="1" ht="21" customHeight="1">
      <c r="B10" s="60" t="s">
        <v>28</v>
      </c>
      <c r="D10" s="61" t="s">
        <v>29</v>
      </c>
      <c r="E10" s="62"/>
    </row>
    <row r="11" ht="50.100000000000001" customHeight="1">
      <c r="B11" s="72" t="s">
        <v>219</v>
      </c>
      <c r="C11" s="72" t="s">
        <v>31</v>
      </c>
      <c r="D11" s="72" t="s">
        <v>251</v>
      </c>
      <c r="E11" s="72" t="s">
        <v>502</v>
      </c>
      <c r="F11" s="72" t="s">
        <v>253</v>
      </c>
      <c r="G11" s="72" t="s">
        <v>503</v>
      </c>
      <c r="H11" s="64" t="s">
        <v>504</v>
      </c>
      <c r="I11" s="64" t="s">
        <v>37</v>
      </c>
      <c r="J11" s="64" t="s">
        <v>427</v>
      </c>
      <c r="K11" s="64" t="s">
        <v>428</v>
      </c>
      <c r="L11" s="64" t="s">
        <v>35</v>
      </c>
      <c r="M11" s="72" t="s">
        <v>254</v>
      </c>
      <c r="N11" s="264" t="s">
        <v>459</v>
      </c>
      <c r="O11" s="217"/>
      <c r="P11" s="65" t="s">
        <v>505</v>
      </c>
      <c r="Q11" s="66"/>
      <c r="R11" s="65" t="s">
        <v>506</v>
      </c>
      <c r="S11" s="66"/>
      <c r="T11" s="64" t="s">
        <v>258</v>
      </c>
      <c r="U11" s="64" t="s">
        <v>507</v>
      </c>
      <c r="V11" s="215" t="s">
        <v>432</v>
      </c>
      <c r="W11" s="216"/>
      <c r="X11" s="217"/>
      <c r="Y11" s="72" t="s">
        <v>40</v>
      </c>
      <c r="Z11" s="72" t="s">
        <v>433</v>
      </c>
      <c r="AA11" s="72" t="s">
        <v>434</v>
      </c>
      <c r="AB11" s="72" t="s">
        <v>41</v>
      </c>
      <c r="AC11" s="72" t="s">
        <v>435</v>
      </c>
      <c r="AD11" s="72" t="s">
        <v>43</v>
      </c>
      <c r="AE11" s="72" t="s">
        <v>260</v>
      </c>
      <c r="AF11" s="64" t="s">
        <v>44</v>
      </c>
      <c r="AG11" s="264" t="s">
        <v>46</v>
      </c>
      <c r="AH11" s="217"/>
      <c r="AI11" s="215" t="s">
        <v>436</v>
      </c>
      <c r="AJ11" s="216"/>
      <c r="AK11" s="217"/>
      <c r="AL11" s="72" t="s">
        <v>47</v>
      </c>
      <c r="AM11" s="72" t="s">
        <v>48</v>
      </c>
      <c r="AN11" s="72" t="s">
        <v>437</v>
      </c>
      <c r="AO11" s="72" t="s">
        <v>438</v>
      </c>
      <c r="AP11" s="72" t="s">
        <v>51</v>
      </c>
      <c r="AQ11" s="72" t="s">
        <v>54</v>
      </c>
      <c r="AR11" s="72" t="s">
        <v>508</v>
      </c>
      <c r="AS11" s="65" t="s">
        <v>65</v>
      </c>
      <c r="AT11" s="66"/>
      <c r="AU11" s="72" t="s">
        <v>66</v>
      </c>
      <c r="AV11" s="72" t="s">
        <v>67</v>
      </c>
      <c r="AW11" s="72" t="s">
        <v>68</v>
      </c>
      <c r="AX11" s="72" t="s">
        <v>224</v>
      </c>
      <c r="AY11" s="72"/>
      <c r="AZ11" s="72"/>
      <c r="BA11" s="72" t="s">
        <v>282</v>
      </c>
      <c r="BB11" s="64" t="s">
        <v>72</v>
      </c>
      <c r="BC11" s="72" t="s">
        <v>75</v>
      </c>
    </row>
    <row r="12" ht="51">
      <c r="B12" s="72"/>
      <c r="C12" s="72"/>
      <c r="D12" s="72"/>
      <c r="E12" s="72"/>
      <c r="F12" s="72"/>
      <c r="G12" s="72"/>
      <c r="H12" s="71"/>
      <c r="I12" s="71"/>
      <c r="J12" s="71"/>
      <c r="K12" s="71"/>
      <c r="L12" s="71"/>
      <c r="M12" s="72"/>
      <c r="N12" s="72" t="s">
        <v>76</v>
      </c>
      <c r="O12" s="72" t="s">
        <v>77</v>
      </c>
      <c r="P12" s="72" t="s">
        <v>509</v>
      </c>
      <c r="Q12" s="72" t="s">
        <v>510</v>
      </c>
      <c r="R12" s="72" t="s">
        <v>509</v>
      </c>
      <c r="S12" s="72" t="s">
        <v>510</v>
      </c>
      <c r="T12" s="71"/>
      <c r="U12" s="71"/>
      <c r="V12" s="218" t="s">
        <v>439</v>
      </c>
      <c r="W12" s="218" t="s">
        <v>440</v>
      </c>
      <c r="X12" s="218" t="s">
        <v>85</v>
      </c>
      <c r="Y12" s="72"/>
      <c r="Z12" s="72"/>
      <c r="AA12" s="72"/>
      <c r="AB12" s="72"/>
      <c r="AC12" s="72"/>
      <c r="AD12" s="72"/>
      <c r="AE12" s="72"/>
      <c r="AF12" s="71"/>
      <c r="AG12" s="72" t="s">
        <v>76</v>
      </c>
      <c r="AH12" s="72" t="s">
        <v>77</v>
      </c>
      <c r="AI12" s="218" t="s">
        <v>439</v>
      </c>
      <c r="AJ12" s="218" t="s">
        <v>440</v>
      </c>
      <c r="AK12" s="218" t="s">
        <v>85</v>
      </c>
      <c r="AL12" s="72"/>
      <c r="AM12" s="72"/>
      <c r="AN12" s="72"/>
      <c r="AO12" s="72"/>
      <c r="AP12" s="72"/>
      <c r="AQ12" s="72"/>
      <c r="AR12" s="72"/>
      <c r="AS12" s="72" t="s">
        <v>89</v>
      </c>
      <c r="AT12" s="72" t="s">
        <v>90</v>
      </c>
      <c r="AU12" s="72"/>
      <c r="AV12" s="72"/>
      <c r="AW12" s="72"/>
      <c r="AX12" s="72" t="s">
        <v>511</v>
      </c>
      <c r="AY12" s="72" t="s">
        <v>512</v>
      </c>
      <c r="AZ12" s="72" t="s">
        <v>513</v>
      </c>
      <c r="BA12" s="72"/>
      <c r="BB12" s="71"/>
      <c r="BC12" s="72"/>
    </row>
    <row r="13">
      <c r="A13" s="56" t="s">
        <v>25</v>
      </c>
      <c r="B13" s="74">
        <v>1</v>
      </c>
      <c r="C13" s="74">
        <v>2</v>
      </c>
      <c r="D13" s="74">
        <v>3</v>
      </c>
      <c r="E13" s="74">
        <v>4</v>
      </c>
      <c r="F13" s="74">
        <v>5</v>
      </c>
      <c r="G13" s="74">
        <v>6</v>
      </c>
      <c r="H13" s="74">
        <v>7</v>
      </c>
      <c r="I13" s="72">
        <v>8</v>
      </c>
      <c r="J13" s="74">
        <v>9</v>
      </c>
      <c r="K13" s="72">
        <v>10</v>
      </c>
      <c r="L13" s="74">
        <v>11</v>
      </c>
      <c r="M13" s="72">
        <v>12</v>
      </c>
      <c r="N13" s="74">
        <v>13</v>
      </c>
      <c r="O13" s="72">
        <v>14</v>
      </c>
      <c r="P13" s="72">
        <v>15</v>
      </c>
      <c r="Q13" s="72">
        <v>16</v>
      </c>
      <c r="R13" s="72">
        <v>17</v>
      </c>
      <c r="S13" s="72">
        <v>18</v>
      </c>
      <c r="T13" s="72">
        <v>19</v>
      </c>
      <c r="U13" s="72">
        <v>20</v>
      </c>
      <c r="V13" s="72">
        <v>21</v>
      </c>
      <c r="W13" s="72">
        <v>22</v>
      </c>
      <c r="X13" s="72">
        <v>23</v>
      </c>
      <c r="Y13" s="72">
        <v>24</v>
      </c>
      <c r="Z13" s="72">
        <v>25</v>
      </c>
      <c r="AA13" s="72">
        <v>25.100000000000001</v>
      </c>
      <c r="AB13" s="72">
        <v>26</v>
      </c>
      <c r="AC13" s="72">
        <v>27</v>
      </c>
      <c r="AD13" s="72">
        <v>28</v>
      </c>
      <c r="AE13" s="72">
        <v>29</v>
      </c>
      <c r="AF13" s="72">
        <v>30</v>
      </c>
      <c r="AG13" s="72">
        <v>31</v>
      </c>
      <c r="AH13" s="72">
        <v>32</v>
      </c>
      <c r="AI13" s="72">
        <v>33</v>
      </c>
      <c r="AJ13" s="72">
        <v>34</v>
      </c>
      <c r="AK13" s="72">
        <v>35</v>
      </c>
      <c r="AL13" s="72">
        <v>36</v>
      </c>
      <c r="AM13" s="72">
        <v>37</v>
      </c>
      <c r="AN13" s="72">
        <v>38</v>
      </c>
      <c r="AO13" s="72">
        <v>38.100000000000001</v>
      </c>
      <c r="AP13" s="72">
        <v>39</v>
      </c>
      <c r="AQ13" s="74" t="s">
        <v>119</v>
      </c>
      <c r="AR13" s="74" t="str">
        <f t="shared" ref="AR13:AZ13" si="1">"Т"&amp;RIGHT(AQ13,LEN(AQ13)-1)+1</f>
        <v>Т2</v>
      </c>
      <c r="AS13" s="74" t="str">
        <f t="shared" si="1"/>
        <v>Т3</v>
      </c>
      <c r="AT13" s="74" t="str">
        <f t="shared" si="1"/>
        <v>Т4</v>
      </c>
      <c r="AU13" s="74" t="str">
        <f t="shared" si="1"/>
        <v>Т5</v>
      </c>
      <c r="AV13" s="74" t="str">
        <f t="shared" si="1"/>
        <v>Т6</v>
      </c>
      <c r="AW13" s="74" t="str">
        <f t="shared" si="1"/>
        <v>Т7</v>
      </c>
      <c r="AX13" s="74" t="str">
        <f t="shared" si="1"/>
        <v>Т8</v>
      </c>
      <c r="AY13" s="74" t="str">
        <f t="shared" si="1"/>
        <v>Т9</v>
      </c>
      <c r="AZ13" s="74" t="str">
        <f t="shared" si="1"/>
        <v>Т10</v>
      </c>
      <c r="BA13" s="74" t="s">
        <v>125</v>
      </c>
      <c r="BB13" s="74" t="s">
        <v>127</v>
      </c>
      <c r="BC13" s="74" t="s">
        <v>514</v>
      </c>
    </row>
    <row r="14">
      <c r="A14" s="2"/>
      <c r="B14" s="76" t="s">
        <v>131</v>
      </c>
      <c r="C14" s="76" t="s">
        <v>132</v>
      </c>
      <c r="D14" s="76" t="s">
        <v>133</v>
      </c>
      <c r="E14" s="77" t="s">
        <v>134</v>
      </c>
      <c r="F14" s="77" t="s">
        <v>135</v>
      </c>
      <c r="G14" s="83" t="s">
        <v>515</v>
      </c>
      <c r="H14" s="257" t="s">
        <v>516</v>
      </c>
      <c r="I14" s="257" t="s">
        <v>138</v>
      </c>
      <c r="J14" s="77" t="s">
        <v>446</v>
      </c>
      <c r="K14" s="77" t="s">
        <v>447</v>
      </c>
      <c r="L14" s="78" t="s">
        <v>136</v>
      </c>
      <c r="M14" s="83" t="s">
        <v>517</v>
      </c>
      <c r="N14" s="81" t="s">
        <v>140</v>
      </c>
      <c r="O14" s="177" t="s">
        <v>518</v>
      </c>
      <c r="P14" s="81" t="s">
        <v>449</v>
      </c>
      <c r="Q14" s="81" t="s">
        <v>519</v>
      </c>
      <c r="R14" s="265" t="s">
        <v>450</v>
      </c>
      <c r="S14" s="81" t="s">
        <v>520</v>
      </c>
      <c r="T14" s="177" t="s">
        <v>451</v>
      </c>
      <c r="U14" s="177" t="s">
        <v>338</v>
      </c>
      <c r="V14" s="83" t="s">
        <v>164</v>
      </c>
      <c r="W14" s="76" t="s">
        <v>166</v>
      </c>
      <c r="X14" s="77" t="s">
        <v>167</v>
      </c>
      <c r="Y14" s="81" t="s">
        <v>142</v>
      </c>
      <c r="Z14" s="81" t="s">
        <v>152</v>
      </c>
      <c r="AA14" s="81" t="s">
        <v>154</v>
      </c>
      <c r="AB14" s="266" t="s">
        <v>143</v>
      </c>
      <c r="AC14" s="77" t="s">
        <v>144</v>
      </c>
      <c r="AD14" s="77" t="s">
        <v>145</v>
      </c>
      <c r="AE14" s="83" t="s">
        <v>452</v>
      </c>
      <c r="AF14" s="257" t="s">
        <v>146</v>
      </c>
      <c r="AG14" s="81" t="s">
        <v>148</v>
      </c>
      <c r="AH14" s="177" t="s">
        <v>149</v>
      </c>
      <c r="AI14" s="83" t="s">
        <v>178</v>
      </c>
      <c r="AJ14" s="76" t="s">
        <v>180</v>
      </c>
      <c r="AK14" s="77" t="s">
        <v>181</v>
      </c>
      <c r="AL14" s="81" t="s">
        <v>150</v>
      </c>
      <c r="AM14" s="177" t="s">
        <v>151</v>
      </c>
      <c r="AN14" s="81" t="s">
        <v>153</v>
      </c>
      <c r="AO14" s="81" t="s">
        <v>155</v>
      </c>
      <c r="AP14" s="177" t="s">
        <v>521</v>
      </c>
      <c r="AQ14" s="267" t="s">
        <v>160</v>
      </c>
      <c r="AR14" s="267" t="s">
        <v>174</v>
      </c>
      <c r="AS14" s="268" t="s">
        <v>187</v>
      </c>
      <c r="AT14" s="268" t="s">
        <v>188</v>
      </c>
      <c r="AU14" s="269" t="s">
        <v>189</v>
      </c>
      <c r="AV14" s="269" t="s">
        <v>190</v>
      </c>
      <c r="AW14" s="270" t="s">
        <v>191</v>
      </c>
      <c r="AX14" s="177" t="s">
        <v>192</v>
      </c>
      <c r="AY14" s="177" t="s">
        <v>377</v>
      </c>
      <c r="AZ14" s="177" t="s">
        <v>378</v>
      </c>
      <c r="BA14" s="90" t="s">
        <v>194</v>
      </c>
      <c r="BB14" s="90" t="s">
        <v>195</v>
      </c>
      <c r="BC14" s="77" t="s">
        <v>198</v>
      </c>
    </row>
    <row r="15" ht="15.75">
      <c r="A15" s="56" t="s">
        <v>26</v>
      </c>
      <c r="AC15" s="271"/>
    </row>
    <row r="16">
      <c r="B16" s="219"/>
      <c r="C16" s="219"/>
      <c r="D16" s="219"/>
      <c r="E16" s="219"/>
      <c r="F16" s="219"/>
      <c r="G16" s="219"/>
      <c r="H16" s="201"/>
      <c r="I16" s="201"/>
      <c r="J16" s="96"/>
      <c r="K16" s="96"/>
      <c r="L16" s="110"/>
      <c r="M16" s="96"/>
      <c r="N16" s="272"/>
      <c r="O16" s="273"/>
      <c r="P16" s="273"/>
      <c r="R16" s="221"/>
    </row>
    <row r="17" ht="14.25"/>
    <row r="18" ht="13.5">
      <c r="B18" s="222" t="s">
        <v>23</v>
      </c>
      <c r="C18" s="223"/>
      <c r="D18" s="223"/>
      <c r="E18" s="223"/>
      <c r="F18" s="125"/>
    </row>
    <row r="19" ht="13.5">
      <c r="B19" s="224"/>
      <c r="C19" s="223"/>
      <c r="D19" s="223"/>
      <c r="E19" s="125"/>
      <c r="F19" s="125"/>
    </row>
    <row r="20" ht="13.5">
      <c r="B20" s="222"/>
      <c r="C20" s="223"/>
      <c r="D20" s="223"/>
      <c r="E20" s="223"/>
      <c r="F20" s="125"/>
    </row>
  </sheetData>
  <mergeCells count="42">
    <mergeCell ref="BC11:BC12"/>
    <mergeCell ref="BB11:BB12"/>
    <mergeCell ref="B11:B12"/>
    <mergeCell ref="C11:C12"/>
    <mergeCell ref="D11:D12"/>
    <mergeCell ref="E11:E12"/>
    <mergeCell ref="F11:F12"/>
    <mergeCell ref="G11:G12"/>
    <mergeCell ref="I11:I12"/>
    <mergeCell ref="J11:J12"/>
    <mergeCell ref="K11:K12"/>
    <mergeCell ref="L11:L12"/>
    <mergeCell ref="M11:M12"/>
    <mergeCell ref="N11:O11"/>
    <mergeCell ref="P11:Q11"/>
    <mergeCell ref="BA11:BA12"/>
    <mergeCell ref="R11:S11"/>
    <mergeCell ref="AM11:AM12"/>
    <mergeCell ref="T11:T12"/>
    <mergeCell ref="U11:U12"/>
    <mergeCell ref="V11:X11"/>
    <mergeCell ref="Y11:Y12"/>
    <mergeCell ref="Z11:Z12"/>
    <mergeCell ref="AB11:AB12"/>
    <mergeCell ref="AC11:AC12"/>
    <mergeCell ref="AD11:AD12"/>
    <mergeCell ref="AE11:AE12"/>
    <mergeCell ref="AF11:AF12"/>
    <mergeCell ref="AN11:AN12"/>
    <mergeCell ref="AO11:AO12"/>
    <mergeCell ref="AP11:AP12"/>
    <mergeCell ref="AX11:AZ11"/>
    <mergeCell ref="AA11:AA12"/>
    <mergeCell ref="AG11:AH11"/>
    <mergeCell ref="AI11:AK11"/>
    <mergeCell ref="AL11:AL12"/>
    <mergeCell ref="AQ11:AQ12"/>
    <mergeCell ref="AR11:AR12"/>
    <mergeCell ref="AS11:AT11"/>
    <mergeCell ref="AU11:AU12"/>
    <mergeCell ref="AW11:AW12"/>
    <mergeCell ref="AV11:AV1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2" operator="beginsWith" text="DU_" id="{00630071-00DE-48D6-A7DF-009B00740010}">
            <xm:f>LEFT(D14,LEN("DU_"))="DU_"</xm:f>
            <x14:dxf>
              <fill>
                <patternFill patternType="solid">
                  <fgColor theme="4" tint="0.59996337778862885"/>
                  <bgColor theme="4" tint="0.59996337778862885"/>
                </patternFill>
              </fill>
            </x14:dxf>
          </x14:cfRule>
          <xm:sqref>D14:D65534</xm:sqref>
        </x14:conditionalFormatting>
        <x14:conditionalFormatting xmlns:xm="http://schemas.microsoft.com/office/excel/2006/main">
          <x14:cfRule type="beginsWith" priority="1" operator="beginsWith" text="ARNU_DU" id="{00930025-0052-4CD8-BC6E-001200B20077}">
            <xm:f>LEFT(Z14,LEN("ARNU_DU"))="ARNU_DU"</xm:f>
            <x14:dxf>
              <fill>
                <patternFill patternType="solid">
                  <fgColor theme="4" tint="0.59996337778862885"/>
                  <bgColor theme="4" tint="0.59996337778862885"/>
                </patternFill>
              </fill>
            </x14:dxf>
          </x14:cfRule>
          <xm:sqref>Z14:Z65534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Company>Gazprombank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np17</dc:creator>
  <cp:revision>1</cp:revision>
  <dcterms:created xsi:type="dcterms:W3CDTF">2014-01-14T15:52:47Z</dcterms:created>
  <dcterms:modified xsi:type="dcterms:W3CDTF">2025-03-28T10:01:11Z</dcterms:modified>
</cp:coreProperties>
</file>