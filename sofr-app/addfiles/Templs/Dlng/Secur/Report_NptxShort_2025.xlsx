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1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GIT\sofr-app\addfiles\Templs\Dlng\Secur\"/>
    </mc:Choice>
  </mc:AlternateContent>
  <xr:revisionPtr revIDLastSave="0" documentId="13_ncr:1_{EC78B833-1529-4105-AADC-851F07E6DE30}" xr6:coauthVersionLast="36" xr6:coauthVersionMax="36" xr10:uidLastSave="{00000000-0000-0000-0000-000000000000}"/>
  <bookViews>
    <workbookView xWindow="57480" yWindow="10428" windowWidth="38640" windowHeight="21240" tabRatio="460" xr2:uid="{00000000-000D-0000-FFFF-FFFF00000000}"/>
  </bookViews>
  <sheets>
    <sheet name="Справка по расчету НДФЛ" sheetId="1" r:id="rId1"/>
    <sheet name="Реализация" sheetId="2" r:id="rId2"/>
    <sheet name="РЕПО" sheetId="3" r:id="rId3"/>
    <sheet name="Короткие позиции" sheetId="4" r:id="rId4"/>
    <sheet name="Инвестиционный вычет" sheetId="5" r:id="rId5"/>
    <sheet name="МатВыгода" sheetId="6" r:id="rId6"/>
    <sheet name="ПИ_бирж." sheetId="7" r:id="rId7"/>
    <sheet name="ПИ_внебирж." sheetId="8" r:id="rId8"/>
    <sheet name="Векселя" sheetId="9" r:id="rId9"/>
    <sheet name="Протокол" sheetId="10" r:id="rId10"/>
  </sheets>
  <definedNames>
    <definedName name="N1_BaseBill">'Справка по расчету НДФЛ'!$I$26</definedName>
    <definedName name="N1_BaseMaterial">'Справка по расчету НДФЛ'!$I$25</definedName>
    <definedName name="N1_Client">'Справка по расчету НДФЛ'!$D$3</definedName>
    <definedName name="N1_ClientStatus">'Справка по расчету НДФЛ'!$D$4</definedName>
    <definedName name="N1_ComDepo">'Справка по расчету НДФЛ'!$I$18</definedName>
    <definedName name="N1_CoupRub">'Справка по расчету НДФЛ'!$I$19</definedName>
    <definedName name="N1_Dbeg">'Справка по расчету НДФЛ'!$G$1</definedName>
    <definedName name="N1_Dend">'Справка по расчету НДФЛ'!$I$1</definedName>
    <definedName name="N1_DepoCoupRub">'Справка по расчету НДФЛ'!$J$19</definedName>
    <definedName name="N1_DepoMinusG_618">'Справка по расчету НДФЛ'!$J$29</definedName>
    <definedName name="N1_DepoTaxBase_13">'Справка по расчету НДФЛ'!$J$33</definedName>
    <definedName name="N1_DepoTaxBase_15">'Справка по расчету НДФЛ'!$J$34</definedName>
    <definedName name="N1_DepoTaxBase_618">'Справка по расчету НДФЛ'!$J$28</definedName>
    <definedName name="N1_DepoTaxBaseAll">'Справка по расчету НДФЛ'!$J$32</definedName>
    <definedName name="N1_DepoTaxDueNow1">'Справка по расчету НДФЛ'!$J$52</definedName>
    <definedName name="N1_DepoTaxDueNow1_15">'Справка по расчету НДФЛ'!$J$53</definedName>
    <definedName name="N1_DepoTaxDueNow1_all">'Справка по расчету НДФЛ'!$J$51</definedName>
    <definedName name="N1_DepoTaxDueYear">'Справка по расчету НДФЛ'!$J$38</definedName>
    <definedName name="N1_DepoTaxDueYear_13">'Справка по расчету НДФЛ'!$J$39</definedName>
    <definedName name="N1_DepoTaxDueYear_15">'Справка по расчету НДФЛ'!$J$40</definedName>
    <definedName name="N1_DepoTaxPaid">'Справка по расчету НДФЛ'!$J$45</definedName>
    <definedName name="N1_DepoTaxPaid_15">'Справка по расчету НДФЛ'!$J$46</definedName>
    <definedName name="N1_DepoTaxPaid_all">'Справка по расчету НДФЛ'!$J$44</definedName>
    <definedName name="N1_DerivTaxRub">'Справка по расчету НДФЛ'!$I$24</definedName>
    <definedName name="N1_DlastNOB">'Справка по расчету НДФЛ'!$G$7</definedName>
    <definedName name="N1_Dsys">'Справка по расчету НДФЛ'!$I$2</definedName>
    <definedName name="N1_Footer">'Справка по расчету НДФЛ'!$A$57:$L$61</definedName>
    <definedName name="N1_MinusG_517">'Справка по расчету НДФЛ'!$I$31</definedName>
    <definedName name="N1_MinusG_618">'Справка по расчету НДФЛ'!$I$29</definedName>
    <definedName name="N1_MinusG_619">'Справка по расчету НДФЛ'!$I$30</definedName>
    <definedName name="N1_NoRepData">'Справка по расчету НДФЛ'!$A$63</definedName>
    <definedName name="N1_OnbCoupRub">'Справка по расчету НДФЛ'!$K$19</definedName>
    <definedName name="N1_OnbTaxBase_13">'Справка по расчету НДФЛ'!$K$33</definedName>
    <definedName name="N1_OnbTaxBase_15">'Справка по расчету НДФЛ'!$K$34</definedName>
    <definedName name="N1_OnbTaxBase_18">'Справка по расчету НДФЛ'!$K$35</definedName>
    <definedName name="N1_OnbTaxBase_20">'Справка по расчету НДФЛ'!$K$36</definedName>
    <definedName name="N1_OnbTaxBase_22">'Справка по расчету НДФЛ'!$K$37</definedName>
    <definedName name="N1_OnbTaxBaseAll">'Справка по расчету НДФЛ'!$K$32</definedName>
    <definedName name="N1_OnbTaxDueNow1">'Справка по расчету НДФЛ'!$K$52</definedName>
    <definedName name="N1_OnbTaxDueNow1_15">'Справка по расчету НДФЛ'!$K$53</definedName>
    <definedName name="N1_OnbTaxDueNow1_18">'Справка по расчету НДФЛ'!$K$54</definedName>
    <definedName name="N1_OnbTaxDueNow1_20">'Справка по расчету НДФЛ'!$K$55</definedName>
    <definedName name="N1_OnbTaxDueNow1_22">'Справка по расчету НДФЛ'!$K$56</definedName>
    <definedName name="N1_OnbTaxDueNow1_all">'Справка по расчету НДФЛ'!$K$51</definedName>
    <definedName name="N1_OnbTaxDueYear">'Справка по расчету НДФЛ'!$K$38</definedName>
    <definedName name="N1_OnbTaxDueYear_13">'Справка по расчету НДФЛ'!$K$39</definedName>
    <definedName name="N1_OnbTaxDueYear_15">'Справка по расчету НДФЛ'!$K$40</definedName>
    <definedName name="N1_OnbTaxDueYear_18">'Справка по расчету НДФЛ'!$K$41</definedName>
    <definedName name="N1_OnbTaxDueYear_20">'Справка по расчету НДФЛ'!$K$42</definedName>
    <definedName name="N1_OnbTaxDueYear_22">'Справка по расчету НДФЛ'!$K$43</definedName>
    <definedName name="N1_OnbTaxPaid">'Справка по расчету НДФЛ'!$K$45</definedName>
    <definedName name="N1_OnbTaxPaid_15">'Справка по расчету НДФЛ'!$K$46</definedName>
    <definedName name="N1_OnbTaxPaid_18">'Справка по расчету НДФЛ'!$K$47</definedName>
    <definedName name="N1_OnbTaxPaid_20">'Справка по расчету НДФЛ'!$K$48</definedName>
    <definedName name="N1_OnbTaxPaid_22">'Справка по расчету НДФЛ'!$K$49</definedName>
    <definedName name="N1_OnbTaxPaid_all">'Справка по расчету НДФЛ'!$K$44</definedName>
    <definedName name="N1_OtherIncome">'Справка по расчету НДФЛ'!$K$27</definedName>
    <definedName name="N1_PreliminaryCalc">'Справка по расчету НДФЛ'!$I$7</definedName>
    <definedName name="N1_RepoFactRub">'Справка по расчету НДФЛ'!$I$21</definedName>
    <definedName name="N1_ReportBody">'Справка по расчету НДФЛ'!$A$12:$L$56</definedName>
    <definedName name="N1_ReportHeader">'Справка по расчету НДФЛ'!$A$1:$L$8</definedName>
    <definedName name="N1_ReportType">'Справка по расчету НДФЛ'!$D$5</definedName>
    <definedName name="N1_RepoTaxRach">'Справка по расчету НДФЛ'!$I$23</definedName>
    <definedName name="N1_RepoTaxRub">'Справка по расчету НДФЛ'!$I$22</definedName>
    <definedName name="N1_SNOB_Line">'Справка по расчету НДФЛ'!$A$9:$L$9</definedName>
    <definedName name="N1_SNOB1_Line">'Справка по расчету НДФЛ'!$A$10:$L$10</definedName>
    <definedName name="N1_SNOB2_Line">'Справка по расчету НДФЛ'!$A$11:$L$11</definedName>
    <definedName name="N1_SNOBAmount">'Справка по расчету НДФЛ'!$L$9</definedName>
    <definedName name="N1_SNOBAmount1">'Справка по расчету НДФЛ'!$L$10</definedName>
    <definedName name="N1_SNOBAmount2">'Справка по расчету НДФЛ'!$L$11</definedName>
    <definedName name="N1_SNOBType">'Справка по расчету НДФЛ'!$A$9</definedName>
    <definedName name="N1_SNOBType1">'Справка по расчету НДФЛ'!$A$10</definedName>
    <definedName name="N1_SNOBType2">'Справка по расчету НДФЛ'!$A$11</definedName>
    <definedName name="N1_TaxBase_13">'Справка по расчету НДФЛ'!$I$33</definedName>
    <definedName name="N1_TaxBase_15">'Справка по расчету НДФЛ'!$I$34</definedName>
    <definedName name="N1_TaxBase_618">'Справка по расчету НДФЛ'!$I$28</definedName>
    <definedName name="N1_TaxBaseAll">'Справка по расчету НДФЛ'!$I$32</definedName>
    <definedName name="N1_TaxDueNow1">'Справка по расчету НДФЛ'!$I$52</definedName>
    <definedName name="N1_TaxDueNow1_15">'Справка по расчету НДФЛ'!$I$53</definedName>
    <definedName name="N1_TaxDueNow1_all">'Справка по расчету НДФЛ'!$I$51</definedName>
    <definedName name="N1_TaxDueYear">'Справка по расчету НДФЛ'!$I$38</definedName>
    <definedName name="N1_TaxDueYear_13">'Справка по расчету НДФЛ'!$I$39</definedName>
    <definedName name="N1_TaxDueYear_15">'Справка по расчету НДФЛ'!$I$40</definedName>
    <definedName name="N1_TaxFR_Lost">'Справка по расчету НДФЛ'!$I$17</definedName>
    <definedName name="N1_TaxFR_market">'Справка по расчету НДФЛ'!$I$15</definedName>
    <definedName name="N1_TaxFR_Open">'Справка по расчету НДФЛ'!$I$20</definedName>
    <definedName name="N1_TaxFR_OTC">'Справка по расчету НДФЛ'!$I$16</definedName>
    <definedName name="N1_TaxFR_total">'Справка по расчету НДФЛ'!$I$14</definedName>
    <definedName name="N1_TaxPaid">'Справка по расчету НДФЛ'!$I$45</definedName>
    <definedName name="N1_TaxPaid_15">'Справка по расчету НДФЛ'!$I$46</definedName>
    <definedName name="N1_TaxPaid_all">'Справка по расчету НДФЛ'!$I$44</definedName>
    <definedName name="N10_Client">Протокол!$B$2</definedName>
    <definedName name="N10_Dbeg">Протокол!$E$1</definedName>
    <definedName name="N10_Dend">Протокол!$G$1</definedName>
    <definedName name="N10_ExpenseCode">Протокол!$F$6</definedName>
    <definedName name="N10_ExpenseName">Протокол!$G$6</definedName>
    <definedName name="N10_ExpenseNDR">Протокол!$E$6</definedName>
    <definedName name="N10_ExpenseSum">Протокол!$H$6</definedName>
    <definedName name="N10_IncomeCode">Протокол!$B$6</definedName>
    <definedName name="N10_IncomeName">Протокол!$C$6</definedName>
    <definedName name="N10_IncomeNDR">Протокол!$A$6</definedName>
    <definedName name="N10_IncomeSum">Протокол!$D$6</definedName>
    <definedName name="N10_MainTable">Протокол!$A$6:$H$6</definedName>
    <definedName name="N10_ReportHeader">Протокол!$A$1:$H$5</definedName>
    <definedName name="N2_AA">Реализация!$AC$7</definedName>
    <definedName name="N2_AllBrub">Реализация!$S$7</definedName>
    <definedName name="N2_AllSrub">Реализация!$I$7</definedName>
    <definedName name="N2_Client">Реализация!$D$2</definedName>
    <definedName name="N2_CodeB">Реализация!$O$7</definedName>
    <definedName name="N2_CodeS">Реализация!$E$7</definedName>
    <definedName name="N2_ComB">Реализация!$Y$7</definedName>
    <definedName name="N2_ComBankB">Реализация!$W$7</definedName>
    <definedName name="N2_ComBankS">Реализация!$K$7</definedName>
    <definedName name="N2_ComExcB">Реализация!$X$7</definedName>
    <definedName name="N2_ComExcS">Реализация!$L$7</definedName>
    <definedName name="N2_ComS">Реализация!$M$7</definedName>
    <definedName name="N2_ContractB">Реализация!$N$7</definedName>
    <definedName name="N2_ContractS">Реализация!$D$7</definedName>
    <definedName name="N2_Dbeg">Реализация!$G$1</definedName>
    <definedName name="N2_Dend">Реализация!$J$1</definedName>
    <definedName name="N2_DifB">Реализация!$V$7</definedName>
    <definedName name="N2_DifS">Реализация!$J$7</definedName>
    <definedName name="N2_DPB">Реализация!$Q$7</definedName>
    <definedName name="N2_DPS">Реализация!$G$7</definedName>
    <definedName name="N2_DZB">Реализация!$P$7</definedName>
    <definedName name="N2_DZS">Реализация!$F$7</definedName>
    <definedName name="N2_MainTable">Реализация!$A$7:$AC$7</definedName>
    <definedName name="N2_MaterialB">Реализация!$T$7</definedName>
    <definedName name="N2_PrBrub">Реализация!$R$7</definedName>
    <definedName name="N2_PrSrub">Реализация!$H$7</definedName>
    <definedName name="N2_Qnty">Реализация!$C$7</definedName>
    <definedName name="N2_ReportHeader">Реализация!$A$1:$J$2</definedName>
    <definedName name="N2_SecCode">Реализация!$A$7</definedName>
    <definedName name="N2_SecName">Реализация!$B$7</definedName>
    <definedName name="N2_SecType">Реализация!$AA$7</definedName>
    <definedName name="N2_TableHeader">Реализация!$A$3:$AB$6</definedName>
    <definedName name="N2_TaxFRlink">Реализация!$Z$7</definedName>
    <definedName name="N2_TaxMaterialB">Реализация!$U$7</definedName>
    <definedName name="N2_TaxTags">Реализация!$AB$7</definedName>
    <definedName name="N3_AmortCalcVn">РЕПО!$W$6</definedName>
    <definedName name="N3_Client">РЕПО!$E$2</definedName>
    <definedName name="N3_CodeR">РЕПО!$D$6</definedName>
    <definedName name="N3_Com">РЕПО!$U$6</definedName>
    <definedName name="N3_ContractS">РЕПО!$C$6</definedName>
    <definedName name="N3_CoupCalcVn">РЕПО!$V$6</definedName>
    <definedName name="N3_Dbeg">РЕПО!$G$1</definedName>
    <definedName name="N3_DD1">РЕПО!$H$6</definedName>
    <definedName name="N3_DD2">РЕПО!$M$6</definedName>
    <definedName name="N3_Deal2vp">РЕПО!$O$6</definedName>
    <definedName name="N3_Dend">РЕПО!$J$1</definedName>
    <definedName name="N3_Dir1">РЕПО!$G$6</definedName>
    <definedName name="N3_Dir2">РЕПО!$L$6</definedName>
    <definedName name="N3_DohRub">РЕПО!$Q$6</definedName>
    <definedName name="N3_DP1">РЕПО!$I$6</definedName>
    <definedName name="N3_DP2">РЕПО!$N$6</definedName>
    <definedName name="N3_DZ">РЕПО!$E$6</definedName>
    <definedName name="N3_GenRub">РЕПО!$T$6</definedName>
    <definedName name="N3_MainTable">РЕПО!$A$6:$W$6</definedName>
    <definedName name="N3_Qnty">РЕПО!$F$6</definedName>
    <definedName name="N3_RashRub">РЕПО!$R$6</definedName>
    <definedName name="N3_Rate">РЕПО!$K$6</definedName>
    <definedName name="N3_ReportHeader">РЕПО!$A$1:$J$2</definedName>
    <definedName name="N3_SecCode">РЕПО!$A$6</definedName>
    <definedName name="N3_SecName">РЕПО!$B$6</definedName>
    <definedName name="N3_TableHeader">РЕПО!$A$3:$W$5</definedName>
    <definedName name="N3_TaxPashRub">РЕПО!$S$6</definedName>
    <definedName name="N3_Tot1vp">РЕПО!$J$6</definedName>
    <definedName name="N3_Tot2vp">РЕПО!$P$6</definedName>
    <definedName name="N4_AA">'Короткие позиции'!$AC$7</definedName>
    <definedName name="N4_AllBrub">'Короткие позиции'!$S$7</definedName>
    <definedName name="N4_AllSrub">'Короткие позиции'!$I$7</definedName>
    <definedName name="N4_Client">'Короткие позиции'!$E$2</definedName>
    <definedName name="N4_CodeB">'Короткие позиции'!$O$7</definedName>
    <definedName name="N4_CodeS">'Короткие позиции'!$E$7</definedName>
    <definedName name="N4_ComB">'Короткие позиции'!$Y$7</definedName>
    <definedName name="N4_ComBankB">'Короткие позиции'!$W$7</definedName>
    <definedName name="N4_ComBankS">'Короткие позиции'!$K$7</definedName>
    <definedName name="N4_ComExcB">'Короткие позиции'!$X$7</definedName>
    <definedName name="N4_ComExcS">'Короткие позиции'!$L$7</definedName>
    <definedName name="N4_ComS">'Короткие позиции'!$M$7</definedName>
    <definedName name="N4_ContractB">'Короткие позиции'!$N$7</definedName>
    <definedName name="N4_ContractS">'Короткие позиции'!$D$7</definedName>
    <definedName name="N4_Dbeg">'Короткие позиции'!$I$1</definedName>
    <definedName name="N4_Dend">'Короткие позиции'!$K$1</definedName>
    <definedName name="N4_DifB">'Короткие позиции'!$V$7</definedName>
    <definedName name="N4_DifS">'Короткие позиции'!$J$7</definedName>
    <definedName name="N4_DPB">'Короткие позиции'!$Q$7</definedName>
    <definedName name="N4_DPS">'Короткие позиции'!$G$7</definedName>
    <definedName name="N4_DZB">'Короткие позиции'!$P$7</definedName>
    <definedName name="N4_DZS">'Короткие позиции'!$F$7</definedName>
    <definedName name="N4_MainTable">'Короткие позиции'!$A$7:$AC$7</definedName>
    <definedName name="N4_MaterialB">'Короткие позиции'!$T$7</definedName>
    <definedName name="N4_PrBrub">'Короткие позиции'!$R$7</definedName>
    <definedName name="N4_PrSrub">'Короткие позиции'!$H$7</definedName>
    <definedName name="N4_Qnty">'Короткие позиции'!$C$7</definedName>
    <definedName name="N4_ReportHeader">'Короткие позиции'!$A$1:$K$2</definedName>
    <definedName name="N4_SecCode">'Короткие позиции'!$A$7</definedName>
    <definedName name="N4_SecName">'Короткие позиции'!$B$7</definedName>
    <definedName name="N4_SecType">'Короткие позиции'!$AA$7</definedName>
    <definedName name="N4_TableHeader">'Короткие позиции'!$A$3:$AB$6</definedName>
    <definedName name="N4_TaxFRlink">'Короткие позиции'!$Z$7</definedName>
    <definedName name="N4_TaxMaterialB">'Короткие позиции'!$U$7</definedName>
    <definedName name="N4_TaxTags">'Короткие позиции'!$AB$7</definedName>
    <definedName name="N5_AllBrub">'Инвестиционный вычет'!$P$12</definedName>
    <definedName name="N5_AllSrub">'Инвестиционный вычет'!$I$12</definedName>
    <definedName name="N5_Client">'Инвестиционный вычет'!$D$2</definedName>
    <definedName name="N5_CodeB">'Инвестиционный вычет'!$L$12</definedName>
    <definedName name="N5_CodeS">'Инвестиционный вычет'!$E$12</definedName>
    <definedName name="N5_ComB">'Инвестиционный вычет'!$Q$12</definedName>
    <definedName name="N5_ComS">'Инвестиционный вычет'!$J$12</definedName>
    <definedName name="N5_ContractB">'Инвестиционный вычет'!$K$12</definedName>
    <definedName name="N5_ContractS">'Инвестиционный вычет'!$D$12</definedName>
    <definedName name="N5_Dbeg">'Инвестиционный вычет'!$H$1</definedName>
    <definedName name="N5_Dend">'Инвестиционный вычет'!$J$1</definedName>
    <definedName name="N5_DPB">'Инвестиционный вычет'!$N$12</definedName>
    <definedName name="N5_DPS">'Инвестиционный вычет'!$G$12</definedName>
    <definedName name="N5_DZB">'Инвестиционный вычет'!$M$12</definedName>
    <definedName name="N5_DZS">'Инвестиционный вычет'!$F$12</definedName>
    <definedName name="N5_FR_Sec_3Y">'Инвестиционный вычет'!$S$12</definedName>
    <definedName name="N5_Index_618">'Инвестиционный вычет'!$K$6</definedName>
    <definedName name="N5_Limit_618">'Инвестиционный вычет'!$K$7</definedName>
    <definedName name="N5_MainTable">'Инвестиционный вычет'!$A$12:$T$12</definedName>
    <definedName name="N5_MinusG_618">'Инвестиционный вычет'!$K$5</definedName>
    <definedName name="N5_Plusi">'Инвестиционный вычет'!$R$12</definedName>
    <definedName name="N5_PrBrub">'Инвестиционный вычет'!$O$12</definedName>
    <definedName name="N5_PrSrub">'Инвестиционный вычет'!$H$12</definedName>
    <definedName name="N5_Qnty">'Инвестиционный вычет'!$C$12</definedName>
    <definedName name="N5_ReportHeader">'Инвестиционный вычет'!$A$1:$L$8</definedName>
    <definedName name="N5_SecCode">'Инвестиционный вычет'!$A$12</definedName>
    <definedName name="N5_SecName">'Инвестиционный вычет'!$B$12</definedName>
    <definedName name="N5_SumFR">'Инвестиционный вычет'!$K$4</definedName>
    <definedName name="N5_TableHeader">'Инвестиционный вычет'!$A$9:$T$11</definedName>
    <definedName name="N5_TaxTagsYears">'Инвестиционный вычет'!$T$12</definedName>
    <definedName name="N6_bMrktB">МатВыгода!$Q$7</definedName>
    <definedName name="N6_Brub">МатВыгода!$P$7</definedName>
    <definedName name="N6_Client">МатВыгода!$E$2</definedName>
    <definedName name="N6_CodeB">МатВыгода!$E$7</definedName>
    <definedName name="N6_ComB">МатВыгода!$U$7</definedName>
    <definedName name="N6_ContB">МатВыгода!$W$7</definedName>
    <definedName name="N6_ContractB">МатВыгода!$D$7</definedName>
    <definedName name="N6_CrBD">МатВыгода!$M$7</definedName>
    <definedName name="N6_Dbeg">МатВыгода!$H$1</definedName>
    <definedName name="N6_DDB">МатВыгода!$G$7</definedName>
    <definedName name="N6_Dend">МатВыгода!$J$1</definedName>
    <definedName name="N6_DMrktB">МатВыгода!$T$7</definedName>
    <definedName name="N6_DPB">МатВыгода!$H$7</definedName>
    <definedName name="N6_DZB">МатВыгода!$F$7</definedName>
    <definedName name="N6_KZB">МатВыгода!$N$7</definedName>
    <definedName name="N6_MainBvp">МатВыгода!$O$7</definedName>
    <definedName name="N6_MainTable">МатВыгода!$A$7:$Y$7</definedName>
    <definedName name="N6_MrktB">МатВыгода!$S$7</definedName>
    <definedName name="N6_NomB">МатВыгода!$V$7</definedName>
    <definedName name="N6_PrBvp">МатВыгода!$J$7</definedName>
    <definedName name="N6_PriceMrktB">МатВыгода!$R$7</definedName>
    <definedName name="N6_Qnty">МатВыгода!$I$7</definedName>
    <definedName name="N6_ReportHeader">МатВыгода!$A$1:$Y$6</definedName>
    <definedName name="N6_SecCode">МатВыгода!$A$7</definedName>
    <definedName name="N6_SecName">МатВыгода!$B$7</definedName>
    <definedName name="N6_SecType">МатВыгода!$X$7</definedName>
    <definedName name="N6_TaxRate">МатВыгода!$Y$7</definedName>
    <definedName name="N6_ValB">МатВыгода!$K$7</definedName>
    <definedName name="N6_VN">МатВыгода!$C$7</definedName>
    <definedName name="N6_VpB">МатВыгода!$L$7</definedName>
    <definedName name="N7_BaseCode">ПИ_бирж.!$H$8</definedName>
    <definedName name="N7_BaseName">ПИ_бирж.!$I$8</definedName>
    <definedName name="N7_BaseType">ПИ_бирж.!$G$8</definedName>
    <definedName name="N7_bMarket">ПИ_бирж.!$W$8</definedName>
    <definedName name="N7_Client">ПИ_бирж.!$A$8</definedName>
    <definedName name="N7_Client1">ПИ_бирж.!$C$2</definedName>
    <definedName name="N7_ClientStatus">ПИ_бирж.!$B$8</definedName>
    <definedName name="N7_Com">ПИ_бирж.!$U$8</definedName>
    <definedName name="N7_ContractS">ПИ_бирж.!$K$8</definedName>
    <definedName name="N7_Dbeg">ПИ_бирж.!$F$1</definedName>
    <definedName name="N7_Dend">ПИ_бирж.!$H$1</definedName>
    <definedName name="N7_Dpos">ПИ_бирж.!$L$8</definedName>
    <definedName name="N7_F12">ПИ_бирж.!$M$6</definedName>
    <definedName name="N7_F13">ПИ_бирж.!$N$6</definedName>
    <definedName name="N7_F15">ПИ_бирж.!$P$6</definedName>
    <definedName name="N7_F16">ПИ_бирж.!$Q$6</definedName>
    <definedName name="N7_F17">ПИ_бирж.!$R$6</definedName>
    <definedName name="N7_F18">ПИ_бирж.!$S$6</definedName>
    <definedName name="N7_F19">ПИ_бирж.!$T$6</definedName>
    <definedName name="N7_F20">ПИ_бирж.!$U$6</definedName>
    <definedName name="N7_F21">ПИ_бирж.!$V$6</definedName>
    <definedName name="N7_FICode">ПИ_бирж.!$D$8</definedName>
    <definedName name="N7_FIName">ПИ_бирж.!$E$8</definedName>
    <definedName name="N7_FIType">ПИ_бирж.!$F$8</definedName>
    <definedName name="N7_FR">ПИ_бирж.!$V$8</definedName>
    <definedName name="N7_MainTable">ПИ_бирж.!$A$8:$X$8</definedName>
    <definedName name="N7_Material">ПИ_бирж.!$P$8</definedName>
    <definedName name="N7_PremNeg">ПИ_бирж.!$T$8</definedName>
    <definedName name="N7_PremPos">ПИ_бирж.!$S$8</definedName>
    <definedName name="N7_Qbuy">ПИ_бирж.!$M$8</definedName>
    <definedName name="N7_Qlong">ПИ_бирж.!$O$8</definedName>
    <definedName name="N7_Qsell">ПИ_бирж.!$N$8</definedName>
    <definedName name="N7_ReportHeader">ПИ_бирж.!$A$1:$X$5</definedName>
    <definedName name="N7_SecCode">ПИ_бирж.!$C$8</definedName>
    <definedName name="N7_TaxRate">ПИ_бирж.!$X$8</definedName>
    <definedName name="N7_Totals">ПИ_бирж.!$A$6:$X$7</definedName>
    <definedName name="N7_TradePlace">ПИ_бирж.!$J$8</definedName>
    <definedName name="N7_VarNeg">ПИ_бирж.!$R$8</definedName>
    <definedName name="N7_VarPos">ПИ_бирж.!$Q$8</definedName>
    <definedName name="N8_BaseType">ПИ_внебирж.!$I$9</definedName>
    <definedName name="N8_Client">ПИ_внебирж.!$A$9</definedName>
    <definedName name="N8_Client1">ПИ_внебирж.!$D$2</definedName>
    <definedName name="N8_ClientStatus">ПИ_внебирж.!$B$9</definedName>
    <definedName name="N8_Com">ПИ_внебирж.!$V$9</definedName>
    <definedName name="N8_Contract">ПИ_внебирж.!$H$9</definedName>
    <definedName name="N8_ContractN">ПИ_внебирж.!$E$9</definedName>
    <definedName name="N8_ContractS">ПИ_внебирж.!$C$9</definedName>
    <definedName name="N8_ContractType">ПИ_внебирж.!$F$9</definedName>
    <definedName name="N8_Contragent">ПИ_внебирж.!$M$9</definedName>
    <definedName name="N8_Dbeg">ПИ_внебирж.!$G$1</definedName>
    <definedName name="N8_DealDate">ПИ_внебирж.!$D$9</definedName>
    <definedName name="N8_Dend">ПИ_внебирж.!$I$1</definedName>
    <definedName name="N8_Direction">ПИ_внебирж.!$G$9</definedName>
    <definedName name="N8_ExpirationDate">ПИ_внебирж.!$K$9</definedName>
    <definedName name="N8_ExpirationPriceCur">ПИ_внебирж.!$N$9</definedName>
    <definedName name="N8_F16">ПИ_внебирж.!$Q$7</definedName>
    <definedName name="N8_F17">ПИ_внебирж.!$R$7</definedName>
    <definedName name="N8_F18">ПИ_внебирж.!$S$7</definedName>
    <definedName name="N8_F19">ПИ_внебирж.!$T$7</definedName>
    <definedName name="N8_F20">ПИ_внебирж.!$U$7</definedName>
    <definedName name="N8_F21">ПИ_внебирж.!$V$7</definedName>
    <definedName name="N8_F22">ПИ_внебирж.!$W$7</definedName>
    <definedName name="N8_FIType">ПИ_внебирж.!$J$9</definedName>
    <definedName name="N8_FR">ПИ_внебирж.!$W$9</definedName>
    <definedName name="N8_MainTable">ПИ_внебирж.!$A$9:$W$9</definedName>
    <definedName name="N8_MarketPrice">ПИ_внебирж.!$P$9</definedName>
    <definedName name="N8_Material">ПИ_внебирж.!$Q$9</definedName>
    <definedName name="N8_PremNeg">ПИ_внебирж.!$U$9</definedName>
    <definedName name="N8_PremPos">ПИ_внебирж.!$T$9</definedName>
    <definedName name="N8_PriceCurrency">ПИ_внебирж.!$O$9</definedName>
    <definedName name="N8_Q">ПИ_внебирж.!$L$9</definedName>
    <definedName name="N8_ReportHeader">ПИ_внебирж.!$A$1:$W$6</definedName>
    <definedName name="N8_Totals">ПИ_внебирж.!$A$7:$W$8</definedName>
    <definedName name="N8_VarNeg">ПИ_внебирж.!$S$9</definedName>
    <definedName name="N8_VarPos">ПИ_внебирж.!$R$9</definedName>
    <definedName name="N9_Client">Векселя!$C$2</definedName>
    <definedName name="N9_Cost">Векселя!$D$6</definedName>
    <definedName name="N9_Dbeg">Векселя!$E$1</definedName>
    <definedName name="N9_Dend">Векселя!$G$1</definedName>
    <definedName name="N9_Discount">Векселя!$G$6</definedName>
    <definedName name="N9_DocNumber">Векселя!$A$6</definedName>
    <definedName name="N9_DOper">Векселя!$B$6</definedName>
    <definedName name="N9_Interest">Векселя!$F$6</definedName>
    <definedName name="N9_MainTable">Векселя!$A$6:$H$6</definedName>
    <definedName name="N9_NBill">Векселя!$C$6</definedName>
    <definedName name="N9_Repayment">Векселя!$E$6</definedName>
    <definedName name="N9_ReportHeader">Векселя!$A$1:$H$5</definedName>
    <definedName name="N9_SumNOB">Векселя!$H$6</definedName>
  </definedNames>
  <calcPr calcId="191029"/>
</workbook>
</file>

<file path=xl/calcChain.xml><?xml version="1.0" encoding="utf-8"?>
<calcChain xmlns="http://schemas.openxmlformats.org/spreadsheetml/2006/main">
  <c r="L26" i="1" l="1"/>
  <c r="L17" i="1" l="1"/>
  <c r="L56" i="1" l="1"/>
  <c r="L55" i="1"/>
  <c r="L54" i="1"/>
  <c r="L53" i="1"/>
  <c r="L49" i="1"/>
  <c r="L48" i="1"/>
  <c r="L47" i="1"/>
  <c r="L43" i="1"/>
  <c r="L42" i="1"/>
  <c r="L41" i="1"/>
  <c r="L37" i="1"/>
  <c r="L36" i="1"/>
  <c r="L35" i="1"/>
  <c r="L31" i="1"/>
  <c r="L30" i="1"/>
  <c r="L46" i="1" l="1"/>
  <c r="L45" i="1"/>
  <c r="L40" i="1"/>
  <c r="L39" i="1"/>
  <c r="L34" i="1"/>
  <c r="L33" i="1"/>
  <c r="L29" i="1"/>
  <c r="L28" i="1"/>
  <c r="L27" i="1"/>
  <c r="L25" i="1"/>
  <c r="L24" i="1"/>
  <c r="L23" i="1"/>
  <c r="L22" i="1"/>
  <c r="L21" i="1"/>
  <c r="L19" i="1"/>
  <c r="L18" i="1"/>
  <c r="L16" i="1"/>
  <c r="L15" i="1"/>
  <c r="L20" i="1"/>
  <c r="L44" i="1" l="1"/>
  <c r="L38" i="1"/>
  <c r="L32" i="1"/>
  <c r="M6" i="7"/>
  <c r="N6" i="7"/>
  <c r="P6" i="7"/>
  <c r="Q6" i="7"/>
  <c r="R6" i="7"/>
  <c r="S6" i="7"/>
  <c r="T6" i="7"/>
  <c r="U6" i="7"/>
  <c r="V6" i="7"/>
  <c r="Q7" i="8"/>
  <c r="R7" i="8"/>
  <c r="S7" i="8"/>
  <c r="T7" i="8"/>
  <c r="U7" i="8"/>
  <c r="V7" i="8"/>
  <c r="W7" i="8"/>
  <c r="L14" i="1" l="1"/>
  <c r="L52" i="1"/>
  <c r="L51" i="1" s="1"/>
</calcChain>
</file>

<file path=xl/sharedStrings.xml><?xml version="1.0" encoding="utf-8"?>
<sst xmlns="http://schemas.openxmlformats.org/spreadsheetml/2006/main" count="599" uniqueCount="387">
  <si>
    <t>КРАТКАЯ СПРАВКА ПО РАСЧЕТУ НДФЛ за период с</t>
  </si>
  <si>
    <t>&lt;Dbeg&gt;</t>
  </si>
  <si>
    <t>по</t>
  </si>
  <si>
    <t>&lt;Dend&gt;</t>
  </si>
  <si>
    <t>Клиент</t>
  </si>
  <si>
    <t>&lt;Client&gt;</t>
  </si>
  <si>
    <t>Налоговый статус</t>
  </si>
  <si>
    <t>&lt;ClientStatus&gt;</t>
  </si>
  <si>
    <t>Тип отчета</t>
  </si>
  <si>
    <t>&lt;ReportType&gt;</t>
  </si>
  <si>
    <t>обращающихся</t>
  </si>
  <si>
    <t>&lt;TaxFR_market&gt;</t>
  </si>
  <si>
    <t>&lt;TaxFR_OTC&gt;</t>
  </si>
  <si>
    <t>&lt;ComDepo&gt;</t>
  </si>
  <si>
    <t>&lt;CoupRub&gt;</t>
  </si>
  <si>
    <t>&lt;TaxFR_Open&gt;</t>
  </si>
  <si>
    <t>&lt;RepoFactRub&gt;</t>
  </si>
  <si>
    <t>&lt;RepoTaxRub&gt;</t>
  </si>
  <si>
    <t>Сумма убытка по  РЕПО и коротким позициям в уменьшение НОБ по ц/б</t>
  </si>
  <si>
    <t>&lt;RepoTaxRach&gt;</t>
  </si>
  <si>
    <t>&lt;DerivTaxRub&gt;</t>
  </si>
  <si>
    <t>&lt;BaseMaterial&gt;</t>
  </si>
  <si>
    <t>&lt;TaxBase+618&gt;</t>
  </si>
  <si>
    <t>Предельное значение инвестиционного вычета по ц/б в собственности более 3 лет</t>
  </si>
  <si>
    <t>&lt;Limit_618&gt;</t>
  </si>
  <si>
    <t>&lt;MinusG_618&gt;</t>
  </si>
  <si>
    <t>&lt;NoRepData&gt;</t>
  </si>
  <si>
    <t xml:space="preserve">Доходы и расходы от реализации за период с </t>
  </si>
  <si>
    <t>Код ц/б</t>
  </si>
  <si>
    <t>Название ц/б</t>
  </si>
  <si>
    <t>Количество, проданное в этой сделке продажи, из этой покупки</t>
  </si>
  <si>
    <t>Данные о продаже</t>
  </si>
  <si>
    <t>Данные о покупке</t>
  </si>
  <si>
    <t>Сумма для налогообложения</t>
  </si>
  <si>
    <t>Обращаемость ц/б</t>
  </si>
  <si>
    <t>Особенности налогообложения</t>
  </si>
  <si>
    <t xml:space="preserve">Номер сделки </t>
  </si>
  <si>
    <t>Дата заключения</t>
  </si>
  <si>
    <t>Дата оплаты</t>
  </si>
  <si>
    <t>Цена сделки, руб.</t>
  </si>
  <si>
    <t>Сумма сделки включая НКД, руб.</t>
  </si>
  <si>
    <t>Сумма отклонения от рынка, руб.</t>
  </si>
  <si>
    <t>Комиссия банка, руб.</t>
  </si>
  <si>
    <t>Комиссия биржи, руб.</t>
  </si>
  <si>
    <t>Всего комиссий, руб.</t>
  </si>
  <si>
    <t>Материальная выгода</t>
  </si>
  <si>
    <t>Налог на матвыгоду</t>
  </si>
  <si>
    <t>Сумма отклонения от рынка</t>
  </si>
  <si>
    <t>&lt;SecCode&gt;</t>
  </si>
  <si>
    <t>&lt;SecName&gt;</t>
  </si>
  <si>
    <t>&lt;Qnty&gt;</t>
  </si>
  <si>
    <t>&lt;CodeS&gt;</t>
  </si>
  <si>
    <t>&lt;DZS&gt;</t>
  </si>
  <si>
    <t>&lt;DPS&gt;</t>
  </si>
  <si>
    <t>&lt;PrSrub&gt;</t>
  </si>
  <si>
    <t>&lt;AllSrub&gt;</t>
  </si>
  <si>
    <t>&lt;DifS&gt;</t>
  </si>
  <si>
    <t>&lt;ComBankS&gt;</t>
  </si>
  <si>
    <t>&lt;ComExcS&gt;</t>
  </si>
  <si>
    <t>&lt;ComS&gt;</t>
  </si>
  <si>
    <t>&lt;CodeB&gt;</t>
  </si>
  <si>
    <t>&lt;DZB&gt;</t>
  </si>
  <si>
    <t>&lt;DPB&gt;</t>
  </si>
  <si>
    <t>&lt;PrBrub&gt;</t>
  </si>
  <si>
    <t>&lt;AllBrub&gt;</t>
  </si>
  <si>
    <t>&lt;MaterialB&gt;</t>
  </si>
  <si>
    <t>&lt;TaxMaterialB&gt;</t>
  </si>
  <si>
    <t>&lt;DifB&gt;</t>
  </si>
  <si>
    <t>&lt;ComBankB&gt;</t>
  </si>
  <si>
    <t>&lt;ComExcB&gt;</t>
  </si>
  <si>
    <t>&lt;ComB&gt;</t>
  </si>
  <si>
    <t>&lt;TaxFRlink&gt;</t>
  </si>
  <si>
    <t>&lt;SecType&gt;</t>
  </si>
  <si>
    <t>&lt;TaxTags&gt;</t>
  </si>
  <si>
    <t>&lt;AA&gt;</t>
  </si>
  <si>
    <t xml:space="preserve">Доходы и расходы от сделок РЕПО  за период с </t>
  </si>
  <si>
    <t>Код бумаги</t>
  </si>
  <si>
    <t>Выпуск ценной бумаги</t>
  </si>
  <si>
    <t>Номер сделки РЕПО</t>
  </si>
  <si>
    <t>Дата заключения сделки РЕПО</t>
  </si>
  <si>
    <t xml:space="preserve">Кол-во ценных бумаг, штук </t>
  </si>
  <si>
    <t>Направление 1 части</t>
  </si>
  <si>
    <t>Дата 1 части РЕПО (движение бумаг)</t>
  </si>
  <si>
    <t xml:space="preserve">Дата 1 части РЕПО   (движение денег) </t>
  </si>
  <si>
    <t>Общая стоимость по 1 части РЕПО в валюте сделки</t>
  </si>
  <si>
    <t>Процент  РЕПО</t>
  </si>
  <si>
    <t>Направление 2 части</t>
  </si>
  <si>
    <t>Дата 2 части РЕПО (движение бумаг)</t>
  </si>
  <si>
    <t xml:space="preserve"> Дата 2 части РЕПО   (движение денег) </t>
  </si>
  <si>
    <t>Общая стоимость по 2 части РЕПО,  в валюте сделки</t>
  </si>
  <si>
    <t>Стоимость 2 части РЕПО после учета промежуточных платежей,  в валюте сделки</t>
  </si>
  <si>
    <t>Сумма % доходов в рублях</t>
  </si>
  <si>
    <t xml:space="preserve"> Фактические расходы, в рублях</t>
  </si>
  <si>
    <t xml:space="preserve"> Расходы, принимаемые для целей налогового учета, руб.</t>
  </si>
  <si>
    <t>Комиссия по сделке РЕПО</t>
  </si>
  <si>
    <t>Сумма купонов, подлежащих выплате эмитентом, в валюте номинала - за период с начала налогового периода по отчетную дату</t>
  </si>
  <si>
    <t>Сумма частичных погашений, подлежащих выплате от эмитента, в валюте номинала - за период с начала налогового периода по отчетную дату</t>
  </si>
  <si>
    <t>&lt;CodeR&gt;</t>
  </si>
  <si>
    <t>&lt;DZ&gt;</t>
  </si>
  <si>
    <t>&lt;Dir1&gt;</t>
  </si>
  <si>
    <t>&lt;DD1&gt;</t>
  </si>
  <si>
    <t>&lt;DP1&gt;</t>
  </si>
  <si>
    <t>&lt;Tot1vp&gt;</t>
  </si>
  <si>
    <t>&lt;Rate&gt;</t>
  </si>
  <si>
    <t>&lt;Dir2&gt;</t>
  </si>
  <si>
    <t>&lt;DD2&gt;</t>
  </si>
  <si>
    <t>&lt;DP2&gt;</t>
  </si>
  <si>
    <t>&lt;Deal2vp&gt;</t>
  </si>
  <si>
    <t>&lt;Tot2vp&gt;</t>
  </si>
  <si>
    <t>&lt;DohRub&gt;</t>
  </si>
  <si>
    <t>&lt;RashRub&gt;</t>
  </si>
  <si>
    <t>&lt;TaxPashRub&gt;</t>
  </si>
  <si>
    <t>&lt;Com&gt;</t>
  </si>
  <si>
    <t>&lt;CoupCalcVn&gt;</t>
  </si>
  <si>
    <t>&lt;AmortCalcVn&gt;</t>
  </si>
  <si>
    <t>Доходы и расходы от коротких позиций по РЕПО за период с</t>
  </si>
  <si>
    <t>Инвестиционный налоговый вычет</t>
  </si>
  <si>
    <t>с</t>
  </si>
  <si>
    <t xml:space="preserve">Инвестиционный вычет ст.219.1 </t>
  </si>
  <si>
    <t>&lt;SumFR&gt;</t>
  </si>
  <si>
    <t xml:space="preserve">Учтенное в НОБ  значение инвестиционного вычета </t>
  </si>
  <si>
    <t>Коэффициент для расчета предельного значение вычета</t>
  </si>
  <si>
    <t>&lt;Index_618&gt;</t>
  </si>
  <si>
    <t xml:space="preserve">Доходы от реализации ц/б </t>
  </si>
  <si>
    <t xml:space="preserve">Финансовый результат по ц/б  </t>
  </si>
  <si>
    <t>Срок нахождения ц\б в собственности налогоплательщика, года</t>
  </si>
  <si>
    <t>&lt;Plusi&gt;</t>
  </si>
  <si>
    <t>&lt;FR_Sec_3Y&gt;</t>
  </si>
  <si>
    <t>&lt;TaxTagsYears&gt;</t>
  </si>
  <si>
    <t>Проценты (дисконт), полученные при оплате предъявленного к платежу векселя</t>
  </si>
  <si>
    <t>&lt;GenRub&gt;</t>
  </si>
  <si>
    <t>Материальная выгода по покупкам за период</t>
  </si>
  <si>
    <t>Код валюты номинала</t>
  </si>
  <si>
    <t>Номер сделки приобретения</t>
  </si>
  <si>
    <t>Дата заключения сделки на приобретение ЦБ</t>
  </si>
  <si>
    <t>Дата перехода права собств-ти при приобретении ЦБ</t>
  </si>
  <si>
    <t>Дата оплаты по сделке приоретения</t>
  </si>
  <si>
    <t>Количество бумаг, шт.</t>
  </si>
  <si>
    <t>Цена приобретения, в валюте цены сделки</t>
  </si>
  <si>
    <t>Валюта цены сделки приобретения</t>
  </si>
  <si>
    <t>Валюта расчетов сделки приобретения</t>
  </si>
  <si>
    <t>Курс ЦБ РФ  на дату поставки приобретения</t>
  </si>
  <si>
    <t>Коэффициент пересчета из валюты цены в валюту номинала для сделки приобретения</t>
  </si>
  <si>
    <t>Стоимость приобретения без НКД</t>
  </si>
  <si>
    <t xml:space="preserve">Рыночная цена по сделке приобретения </t>
  </si>
  <si>
    <t>Комиссия, уплаченная при приобретении, руб.</t>
  </si>
  <si>
    <t>Номинал ценной бумаги на дату приобретения</t>
  </si>
  <si>
    <t>Контрагент по сделке приобретения</t>
  </si>
  <si>
    <t>Налоговая  группа</t>
  </si>
  <si>
    <t>Общая ставка налогообложения</t>
  </si>
  <si>
    <t>Сумма в валюте платежа</t>
  </si>
  <si>
    <t>Сумма, руб.</t>
  </si>
  <si>
    <t>Бумага является обращающейся на дату приобретения</t>
  </si>
  <si>
    <t>Нижняя граница рыночной цены</t>
  </si>
  <si>
    <t xml:space="preserve"> Источник информации   </t>
  </si>
  <si>
    <t xml:space="preserve"> Дата котировки </t>
  </si>
  <si>
    <t>&lt;VN&gt;</t>
  </si>
  <si>
    <t>&lt;DDB&gt;</t>
  </si>
  <si>
    <t>&lt;PrBvp&gt;</t>
  </si>
  <si>
    <t>&lt;ValB&gt;</t>
  </si>
  <si>
    <t>&lt;VpB&gt;</t>
  </si>
  <si>
    <t>&lt;CrBD&gt;</t>
  </si>
  <si>
    <t>&lt;KZB&gt;</t>
  </si>
  <si>
    <t>&lt;MainBvp&gt;</t>
  </si>
  <si>
    <t>&lt;MainBrub&gt;</t>
  </si>
  <si>
    <t>&lt;bMrktB&gt;</t>
  </si>
  <si>
    <t>&lt;PriceMrktB&gt;</t>
  </si>
  <si>
    <t>&lt;MrktB&gt;</t>
  </si>
  <si>
    <t>&lt;DMrktB&gt;</t>
  </si>
  <si>
    <t>&lt;Material&gt;</t>
  </si>
  <si>
    <t>&lt;NomB&gt;</t>
  </si>
  <si>
    <t>&lt;ContB&gt;</t>
  </si>
  <si>
    <t>&lt;TaxRate&gt;</t>
  </si>
  <si>
    <t>&lt;TaxBase_13&gt;</t>
  </si>
  <si>
    <t>&lt;TaxBase_15&gt;</t>
  </si>
  <si>
    <t>Биржевые производные инструменты</t>
  </si>
  <si>
    <t>Инвестор</t>
  </si>
  <si>
    <t>Статус</t>
  </si>
  <si>
    <t>Код ПИ</t>
  </si>
  <si>
    <t>Наименование ПИ</t>
  </si>
  <si>
    <t>Вид ПИ</t>
  </si>
  <si>
    <t>Код базового инструмента</t>
  </si>
  <si>
    <t>Наименование базового инструмента</t>
  </si>
  <si>
    <t>Биржа</t>
  </si>
  <si>
    <t>Брокер</t>
  </si>
  <si>
    <t>Дата</t>
  </si>
  <si>
    <t>Количество, купленное в этот день</t>
  </si>
  <si>
    <t>Количество, проданное в этот день</t>
  </si>
  <si>
    <t>Открытая позиция на конец дня (+ - покупка, - продажа)</t>
  </si>
  <si>
    <t>Материальная выгода, руб.</t>
  </si>
  <si>
    <t>Сумма полученной вариационной маржи, руб.</t>
  </si>
  <si>
    <t>Сумма уплаченной вариационной маржи, руб.</t>
  </si>
  <si>
    <t>Сумма полученных премий, руб.</t>
  </si>
  <si>
    <t>Сумма уплаченных премий, руб.</t>
  </si>
  <si>
    <t>Комиссия , руб.</t>
  </si>
  <si>
    <t>Финансовый результат, руб.</t>
  </si>
  <si>
    <t>Обращаемость (для ПИ, где базовый актив – ц/б)</t>
  </si>
  <si>
    <t>Всего</t>
  </si>
  <si>
    <t>В том</t>
  </si>
  <si>
    <t>числе</t>
  </si>
  <si>
    <t>&lt;FICode&gt;</t>
  </si>
  <si>
    <t>&lt;FIName&gt;</t>
  </si>
  <si>
    <t>&lt;FIType&gt;</t>
  </si>
  <si>
    <t>&lt;BaseType&gt;</t>
  </si>
  <si>
    <t>&lt;BaseCode&gt;</t>
  </si>
  <si>
    <t>&lt;BaseName&gt;</t>
  </si>
  <si>
    <t>&lt;TradePlace&gt;</t>
  </si>
  <si>
    <t>&lt;Dpos&gt;</t>
  </si>
  <si>
    <t>&lt;Qbuy&gt;</t>
  </si>
  <si>
    <t>&lt;Qsell&gt;</t>
  </si>
  <si>
    <t>&lt;Qlong&gt;</t>
  </si>
  <si>
    <t>&lt;VarPos&gt;</t>
  </si>
  <si>
    <t>&lt;VarNeg&gt;</t>
  </si>
  <si>
    <t>&lt;PremPos&gt;</t>
  </si>
  <si>
    <t>PremNeg&gt;</t>
  </si>
  <si>
    <t>&lt;FR&gt;</t>
  </si>
  <si>
    <t>&lt;bMarket&gt;</t>
  </si>
  <si>
    <t>Внебиржевые производные инструменты</t>
  </si>
  <si>
    <t>Дата  сделки</t>
  </si>
  <si>
    <t>Номер сделки</t>
  </si>
  <si>
    <t>Вид контракта</t>
  </si>
  <si>
    <t>Вид сделки</t>
  </si>
  <si>
    <t>Поставочный/расчетный</t>
  </si>
  <si>
    <t>Исходный актив</t>
  </si>
  <si>
    <t>Дата исполнения</t>
  </si>
  <si>
    <t>Кол-во исходного актива</t>
  </si>
  <si>
    <t>Наименование контрагента</t>
  </si>
  <si>
    <t>Цена исходного актива по контракту в валюте</t>
  </si>
  <si>
    <t>Валюта цены</t>
  </si>
  <si>
    <t>Рыночная цена</t>
  </si>
  <si>
    <t>Сумма уплаченных комиссий (в рублях)</t>
  </si>
  <si>
    <t>Вид</t>
  </si>
  <si>
    <t>Код</t>
  </si>
  <si>
    <t>&lt;DealDate&gt;</t>
  </si>
  <si>
    <t>&lt;ContractN&gt;</t>
  </si>
  <si>
    <t>&lt;ContractType&gt;</t>
  </si>
  <si>
    <t>&lt;Direction&gt;</t>
  </si>
  <si>
    <t>&lt;Contract&gt;</t>
  </si>
  <si>
    <t>&lt;ExpirationDate&gt;</t>
  </si>
  <si>
    <t>&lt;Q&gt;</t>
  </si>
  <si>
    <t>&lt;Contragent&gt;</t>
  </si>
  <si>
    <t>&lt;ExpirationPriceCur&gt;</t>
  </si>
  <si>
    <t>&lt;PriceCurrency&gt;</t>
  </si>
  <si>
    <t>&lt;MarketPrice&gt;</t>
  </si>
  <si>
    <t>&lt;PremNeg&gt;</t>
  </si>
  <si>
    <t>Кроме доходов в виде дивидендов:</t>
  </si>
  <si>
    <t>ДЕПО</t>
  </si>
  <si>
    <t>Сумма</t>
  </si>
  <si>
    <t xml:space="preserve">Суммы, полученные при погашении купонов </t>
  </si>
  <si>
    <t>Налоговая база по операциям с ценными бумагами и производными инструментами без учета  инвестиционного вычета</t>
  </si>
  <si>
    <t>Всего:</t>
  </si>
  <si>
    <t>Номер сделки/Номер купона</t>
  </si>
  <si>
    <t>Сумма сделки включая НКД, руб. Для выплаты купона - Сумма НКД, учитываемого в расходы, руб.</t>
  </si>
  <si>
    <t>Дата формирования отчета</t>
  </si>
  <si>
    <t>&lt;Dsys&gt;</t>
  </si>
  <si>
    <t>Сумма расходов в виде комиссий, не относящихся к сделкам</t>
  </si>
  <si>
    <t xml:space="preserve">Дата последнего расчета НОБ </t>
  </si>
  <si>
    <t>&lt;DlastNOB&gt;</t>
  </si>
  <si>
    <t>&lt;PreliminaryCalc&gt;</t>
  </si>
  <si>
    <t>Финансовый результат от купли - продажи и погашения ценных бумаг, в т.ч.</t>
  </si>
  <si>
    <t xml:space="preserve">Финансовый результат по коротким позициям в РЕПО </t>
  </si>
  <si>
    <t>Финансовый результат по сделкам РЕПО/займа фактический</t>
  </si>
  <si>
    <t>Финансовый результат по сделкам РЕПО/займа для налогообложения</t>
  </si>
  <si>
    <t>Финансовый результат по сделкам с ПИ</t>
  </si>
  <si>
    <t>Прочие доходы (компенсации и пр.)</t>
  </si>
  <si>
    <t>&lt;OtherIncome&gt;</t>
  </si>
  <si>
    <t>Инвестиционный налоговый вычет (619) (для ИИС)</t>
  </si>
  <si>
    <t>Налоговый вычет (517) на долгосрочные сбережения граждан (ДСГ)</t>
  </si>
  <si>
    <t>&lt;MinusG_619&gt;</t>
  </si>
  <si>
    <t>&lt;MinusG_517&gt;</t>
  </si>
  <si>
    <t>Общая НОБ с учетом инвестиционного вычета / налогового вычета на ДСГ</t>
  </si>
  <si>
    <t xml:space="preserve"> по общей ставке (13 или 30)</t>
  </si>
  <si>
    <t xml:space="preserve"> по ставке 18</t>
  </si>
  <si>
    <t>Сумма налога, исчисленная налоговым агентом с начала года, в том числе:</t>
  </si>
  <si>
    <t xml:space="preserve"> по ставке 15</t>
  </si>
  <si>
    <t xml:space="preserve">  по ставке 15</t>
  </si>
  <si>
    <t xml:space="preserve">  по общей ставке (13 или 30)</t>
  </si>
  <si>
    <t xml:space="preserve"> по ставке 22</t>
  </si>
  <si>
    <t xml:space="preserve"> по ставке 20</t>
  </si>
  <si>
    <t xml:space="preserve">  по ставке 18</t>
  </si>
  <si>
    <t xml:space="preserve">  по ставке 20</t>
  </si>
  <si>
    <t xml:space="preserve">  по ставке 22</t>
  </si>
  <si>
    <t xml:space="preserve">Сумма налога, удержанная налоговым агентом в течение года,  в том числе:        </t>
  </si>
  <si>
    <t>Сумма налога, подлежащая удержанию(+) / возврату(-),  в том числе:</t>
  </si>
  <si>
    <t>&lt;TaxDueNow1&gt;</t>
  </si>
  <si>
    <t>&lt;TaxDueNow1_15&gt;</t>
  </si>
  <si>
    <t>Номер договора, в рамках которого заключена сделка</t>
  </si>
  <si>
    <t>&lt;ContractS&gt;</t>
  </si>
  <si>
    <t>&lt;ContractB&gt;</t>
  </si>
  <si>
    <t>не обращающихся всего, из них</t>
  </si>
  <si>
    <t>потерявшие обращаемость</t>
  </si>
  <si>
    <t>&lt;TaxFR_Lost&gt;</t>
  </si>
  <si>
    <t xml:space="preserve">Операции с собственными векселями Банка за период с </t>
  </si>
  <si>
    <t>Номер документа</t>
  </si>
  <si>
    <t>Дата операции</t>
  </si>
  <si>
    <t>№ векселя</t>
  </si>
  <si>
    <t>Затраты на приобретение векселя, руб.</t>
  </si>
  <si>
    <t>Сумма погашения / выкупа, руб.</t>
  </si>
  <si>
    <t>Проценты, руб.</t>
  </si>
  <si>
    <t>Дисконт, руб.</t>
  </si>
  <si>
    <t>Сумма НОБ, руб.</t>
  </si>
  <si>
    <t>&lt;DocNumber&gt;</t>
  </si>
  <si>
    <t>&lt;DOper&gt;</t>
  </si>
  <si>
    <t>&lt;NBill&gt;</t>
  </si>
  <si>
    <t>&lt;Cost&gt;</t>
  </si>
  <si>
    <t>&lt;Repayment&gt;</t>
  </si>
  <si>
    <t>&lt;Interest&gt;</t>
  </si>
  <si>
    <t>&lt;Discount&gt;</t>
  </si>
  <si>
    <t>&lt;SumNOB&gt;</t>
  </si>
  <si>
    <t>БО ЦБ и ПИ***</t>
  </si>
  <si>
    <t>ОНБ****</t>
  </si>
  <si>
    <t>* С 01.01.2025: СНОБ 1 - Совокупная налогооблагаемая база по всем доходам, кроме ценных бумаг и производных финансовых инструментов</t>
  </si>
  <si>
    <t>** С 01.01.2025: СНОБ 2 - Совокупная налогооблагаемая база по ценным бумагам и производным финансовым инструментам (включая ИИС)</t>
  </si>
  <si>
    <t>*** Брокерское обслуживание (ценные бумаги и производные финансовые инструменты)</t>
  </si>
  <si>
    <t>**** Общая налоговая база по всем доходам, кроме ценных бумаг и производных финансовых инструментов</t>
  </si>
  <si>
    <t>ПРОТОКОЛ к КРАТКОЙ СПРАВКЕ ПО РАСЧЕТУ НДФЛ за период с</t>
  </si>
  <si>
    <t>НДР
(доход)</t>
  </si>
  <si>
    <t>Код дохода</t>
  </si>
  <si>
    <t>Наименование дохода</t>
  </si>
  <si>
    <t>Сумма дохода</t>
  </si>
  <si>
    <t>НДР
(расход)</t>
  </si>
  <si>
    <t>Код вычета</t>
  </si>
  <si>
    <t>Наименование вычета</t>
  </si>
  <si>
    <t>Сумма вычета</t>
  </si>
  <si>
    <t>&lt;IncomeNDR&gt;</t>
  </si>
  <si>
    <t>&lt;IncomeCode&gt;</t>
  </si>
  <si>
    <t>&lt;IncomeName&gt;</t>
  </si>
  <si>
    <t>&lt;IncomeSum&gt;</t>
  </si>
  <si>
    <t>&lt;ExpenseNDR&gt;</t>
  </si>
  <si>
    <t>&lt;ExpenseCode&gt;</t>
  </si>
  <si>
    <t>&lt;ExpenseName&gt;</t>
  </si>
  <si>
    <t>&lt;ExpenseSum&gt;</t>
  </si>
  <si>
    <t>Материальная выгода от операций с ЦБ и ПИ</t>
  </si>
  <si>
    <t>&lt;TaxFR_total&gt;</t>
  </si>
  <si>
    <t>&lt;DepoCoupRub&gt;</t>
  </si>
  <si>
    <t>&lt;BaseBill&gt;</t>
  </si>
  <si>
    <t>&lt;DepoTaxBase+618&gt;</t>
  </si>
  <si>
    <t>&lt;TaxBaseAll&gt;</t>
  </si>
  <si>
    <t>&lt;DepoTaxBaseAll&gt;</t>
  </si>
  <si>
    <t>&lt;OnbTaxBaseAll&gt;</t>
  </si>
  <si>
    <t>&lt;DepoTaxBase_13&gt;</t>
  </si>
  <si>
    <t>&lt;DepoTaxBase_15&gt;</t>
  </si>
  <si>
    <t>&lt;OnbTaxBase_13&gt;</t>
  </si>
  <si>
    <t>&lt;OnbTaxBase_15&gt;</t>
  </si>
  <si>
    <t>&lt;OnbTaxBase_18&gt;</t>
  </si>
  <si>
    <t>&lt;OnbTaxBase_20&gt;</t>
  </si>
  <si>
    <t>&lt;OnbTaxBase_22&gt;</t>
  </si>
  <si>
    <t>&lt;TaxDueYear&gt;</t>
  </si>
  <si>
    <t>&lt;DepoTaxDueYear&gt;</t>
  </si>
  <si>
    <t>&lt;OnbTaxDueYear&gt;</t>
  </si>
  <si>
    <t>&lt;TaxDueYear_13&gt;</t>
  </si>
  <si>
    <t>&lt;TaxDueYear_15&gt;</t>
  </si>
  <si>
    <t>&lt;DepoTaxDueYear_13&gt;</t>
  </si>
  <si>
    <t>&lt;DepoTaxDueYear_15&gt;</t>
  </si>
  <si>
    <t>&lt;OnbTaxDueYear_13&gt;</t>
  </si>
  <si>
    <t>&lt;OnbTaxDueYear_15&gt;</t>
  </si>
  <si>
    <t>&lt;OnbTaxDueYear_18&gt;</t>
  </si>
  <si>
    <t>&lt;OnbTaxDueYear_20&gt;</t>
  </si>
  <si>
    <t>&lt;OnbTaxDueYear_22&gt;</t>
  </si>
  <si>
    <t>&lt;TaxPaid_all&gt;</t>
  </si>
  <si>
    <t>&lt;DepoTaxPaid_all&gt;</t>
  </si>
  <si>
    <t>&lt;OnbTaxPaid_all&gt;</t>
  </si>
  <si>
    <t>&lt;TaxPaid&gt;</t>
  </si>
  <si>
    <t>&lt;TaxPaid_15&gt;</t>
  </si>
  <si>
    <t>&lt;DepoTaxPaid&gt;</t>
  </si>
  <si>
    <t>&lt;DepoTaxPaid_15&gt;</t>
  </si>
  <si>
    <t>&lt;OnbTaxPaid&gt;</t>
  </si>
  <si>
    <t>&lt;OnbTaxPaid_15&gt;</t>
  </si>
  <si>
    <t>&lt;OnbTaxPaid_18&gt;</t>
  </si>
  <si>
    <t>&lt;OnbTaxPaid_20&gt;</t>
  </si>
  <si>
    <t>&lt;OnbTaxPaid_22&gt;</t>
  </si>
  <si>
    <t>&lt;TaxDueNow1_all&gt;</t>
  </si>
  <si>
    <t>&lt;DepoTaxDueNow1_all&gt;</t>
  </si>
  <si>
    <t>&lt;OnbTaxDueNow1_all&gt;</t>
  </si>
  <si>
    <t>&lt;DepoTaxDueNow1&gt;</t>
  </si>
  <si>
    <t>&lt;DepoTaxDueNow1_15&gt;</t>
  </si>
  <si>
    <t>&lt;OnbTaxDueNow1&gt;</t>
  </si>
  <si>
    <t>&lt;OnbTaxDueNow1_15&gt;</t>
  </si>
  <si>
    <t>&lt;OnbTaxDueNow1_18&gt;</t>
  </si>
  <si>
    <t>&lt;OnbTaxDueNow1_20&gt;</t>
  </si>
  <si>
    <t>&lt;OnbTaxDueNow1_22&gt;</t>
  </si>
  <si>
    <t>&lt;SNOBType&gt;</t>
  </si>
  <si>
    <t>&lt;SNOBType1&gt;</t>
  </si>
  <si>
    <t>&lt;SNOBType2&gt;</t>
  </si>
  <si>
    <t>&lt;SNOBAmount&gt;</t>
  </si>
  <si>
    <t>&lt;SNOBAmount1&gt;</t>
  </si>
  <si>
    <t>&lt;SNOBAmount2&gt;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</si>
</sst>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\ _₽_-;\-* #,##0.00\ _₽_-;_-* &quot;-&quot;??\ _₽_-;_-@_-"/>
    <numFmt numFmtId="164" formatCode="_-* #,##0.00_р_._-;\-* #,##0.00_р_._-;_-* \-??_р_._-;_-@_-"/>
    <numFmt numFmtId="165" formatCode="_-* #,##0_р_._-;\-* #,##0_р_._-;_-* \-??_р_._-;_-@_-"/>
    <numFmt numFmtId="166" formatCode="_-* #,##0_р_._-;\-* #,##0_р_._-;_-* &quot;-&quot;??_р_._-;_-@_-"/>
    <numFmt numFmtId="167" formatCode="0.0000"/>
    <numFmt numFmtId="168" formatCode="_-* #,##0.00_р_._-;\-* #,##0.00_р_._-;_-* &quot;-&quot;??_р_._-;_-@_-"/>
    <numFmt numFmtId="169" formatCode="0.00000000"/>
  </numFmts>
  <fonts count="49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indexed="8"/>
      <name val="Arial Narrow"/>
      <family val="2"/>
      <charset val="204"/>
    </font>
    <font>
      <sz val="11"/>
      <color indexed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name val="Arial Narrow"/>
      <family val="2"/>
      <charset val="204"/>
    </font>
    <font>
      <sz val="10"/>
      <name val="Arial Narrow"/>
      <family val="2"/>
      <charset val="204"/>
    </font>
    <font>
      <sz val="10"/>
      <color indexed="8"/>
      <name val="Arial Narrow"/>
      <family val="2"/>
      <charset val="204"/>
    </font>
    <font>
      <b/>
      <sz val="12"/>
      <name val="Arial Narrow"/>
      <family val="2"/>
      <charset val="204"/>
    </font>
    <font>
      <sz val="6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indexed="23"/>
      <name val="Arial Narrow"/>
      <family val="2"/>
      <charset val="204"/>
    </font>
    <font>
      <sz val="8"/>
      <name val="Arial Narrow"/>
      <family val="2"/>
      <charset val="204"/>
    </font>
    <font>
      <sz val="12"/>
      <color indexed="8"/>
      <name val="Arial Narrow"/>
      <family val="2"/>
      <charset val="204"/>
    </font>
    <font>
      <b/>
      <sz val="12"/>
      <color indexed="8"/>
      <name val="Arial Narrow"/>
      <family val="2"/>
      <charset val="204"/>
    </font>
    <font>
      <sz val="12"/>
      <color indexed="23"/>
      <name val="Arial Narrow"/>
      <family val="2"/>
      <charset val="204"/>
    </font>
    <font>
      <sz val="12"/>
      <name val="Arial Narrow"/>
      <family val="2"/>
      <charset val="204"/>
    </font>
    <font>
      <sz val="11"/>
      <color indexed="8"/>
      <name val="Calibri"/>
      <family val="2"/>
      <charset val="204"/>
    </font>
    <font>
      <sz val="8"/>
      <color indexed="8"/>
      <name val="Arial Narrow"/>
      <family val="2"/>
      <charset val="204"/>
    </font>
    <font>
      <sz val="10"/>
      <name val="Arial Narrow"/>
      <family val="2"/>
    </font>
    <font>
      <sz val="6"/>
      <name val="Arial Narrow"/>
      <family val="2"/>
    </font>
    <font>
      <sz val="12"/>
      <name val="Times New Roman"/>
      <family val="1"/>
      <charset val="204"/>
    </font>
    <font>
      <sz val="9"/>
      <name val="Arial Narrow"/>
      <family val="2"/>
      <charset val="204"/>
    </font>
    <font>
      <b/>
      <sz val="10"/>
      <name val="Arial Narrow"/>
      <family val="2"/>
    </font>
    <font>
      <sz val="10"/>
      <color indexed="23"/>
      <name val="Arial Narrow"/>
      <family val="2"/>
    </font>
    <font>
      <sz val="8"/>
      <name val="Arial Narrow"/>
      <family val="2"/>
    </font>
    <font>
      <b/>
      <sz val="8"/>
      <name val="Arial Narrow"/>
      <family val="2"/>
      <charset val="204"/>
    </font>
    <font>
      <sz val="8"/>
      <name val="Arial Cyr"/>
      <charset val="204"/>
    </font>
    <font>
      <sz val="11"/>
      <name val="Thonburi"/>
      <family val="2"/>
      <charset val="204"/>
    </font>
    <font>
      <b/>
      <u/>
      <sz val="11"/>
      <name val="Thonburi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 Narrow"/>
      <family val="2"/>
      <charset val="204"/>
    </font>
    <font>
      <sz val="11"/>
      <color theme="1"/>
      <name val="Arial Narrow"/>
      <family val="2"/>
      <charset val="204"/>
    </font>
    <font>
      <b/>
      <sz val="12"/>
      <color rgb="FF0070C0"/>
      <name val="Arial Narrow"/>
      <family val="2"/>
      <charset val="204"/>
    </font>
    <font>
      <b/>
      <u/>
      <sz val="14"/>
      <color theme="1"/>
      <name val="Arial Narrow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70C0"/>
      <name val="Calibri"/>
      <family val="2"/>
      <charset val="204"/>
      <scheme val="minor"/>
    </font>
    <font>
      <sz val="11"/>
      <name val="Calibri"/>
      <family val="2"/>
      <charset val="204"/>
    </font>
    <font>
      <sz val="9"/>
      <name val="Calibri"/>
      <family val="2"/>
      <charset val="204"/>
    </font>
    <font>
      <b/>
      <sz val="10"/>
      <color indexed="8"/>
      <name val="Arial Narrow"/>
      <family val="2"/>
      <charset val="204"/>
    </font>
    <font>
      <sz val="8"/>
      <color theme="1"/>
      <name val="Arial Narrow"/>
      <family val="2"/>
      <charset val="204"/>
    </font>
    <font>
      <sz val="9"/>
      <color theme="1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1">
    <xf numFmtId="0" fontId="0" fillId="0" borderId="0"/>
    <xf numFmtId="0" fontId="22" fillId="0" borderId="0"/>
    <xf numFmtId="0" fontId="6" fillId="0" borderId="0"/>
    <xf numFmtId="164" fontId="22" fillId="0" borderId="0" applyFill="0" applyBorder="0" applyAlignment="0" applyProtection="0"/>
    <xf numFmtId="164" fontId="22" fillId="0" borderId="0" applyFill="0" applyBorder="0" applyAlignment="0" applyProtection="0"/>
    <xf numFmtId="0" fontId="5" fillId="0" borderId="0"/>
    <xf numFmtId="0" fontId="5" fillId="0" borderId="0"/>
    <xf numFmtId="168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255">
    <xf numFmtId="0" fontId="0" fillId="0" borderId="0" xfId="0"/>
    <xf numFmtId="0" fontId="7" fillId="0" borderId="0" xfId="0" applyFont="1"/>
    <xf numFmtId="0" fontId="8" fillId="0" borderId="0" xfId="0" applyFont="1"/>
    <xf numFmtId="0" fontId="8" fillId="2" borderId="0" xfId="0" applyFont="1" applyFill="1"/>
    <xf numFmtId="14" fontId="7" fillId="2" borderId="0" xfId="0" applyNumberFormat="1" applyFont="1" applyFill="1"/>
    <xf numFmtId="4" fontId="9" fillId="0" borderId="0" xfId="2" applyNumberFormat="1" applyFont="1"/>
    <xf numFmtId="4" fontId="10" fillId="0" borderId="0" xfId="2" applyNumberFormat="1" applyFont="1" applyAlignment="1">
      <alignment horizontal="right" vertical="top"/>
    </xf>
    <xf numFmtId="0" fontId="10" fillId="0" borderId="0" xfId="2" applyFont="1"/>
    <xf numFmtId="4" fontId="10" fillId="0" borderId="0" xfId="2" applyNumberFormat="1" applyFont="1"/>
    <xf numFmtId="0" fontId="11" fillId="0" borderId="0" xfId="2" applyFont="1"/>
    <xf numFmtId="4" fontId="11" fillId="0" borderId="0" xfId="2" applyNumberFormat="1" applyFont="1"/>
    <xf numFmtId="0" fontId="12" fillId="0" borderId="0" xfId="0" applyFont="1"/>
    <xf numFmtId="3" fontId="10" fillId="0" borderId="0" xfId="2" applyNumberFormat="1" applyFont="1" applyAlignment="1">
      <alignment horizontal="right" vertical="top"/>
    </xf>
    <xf numFmtId="0" fontId="13" fillId="0" borderId="0" xfId="2" applyFont="1"/>
    <xf numFmtId="0" fontId="14" fillId="0" borderId="0" xfId="2" applyFont="1"/>
    <xf numFmtId="165" fontId="14" fillId="0" borderId="0" xfId="4" applyNumberFormat="1" applyFont="1" applyFill="1" applyBorder="1" applyAlignment="1" applyProtection="1"/>
    <xf numFmtId="164" fontId="14" fillId="0" borderId="0" xfId="4" applyFont="1" applyFill="1" applyBorder="1" applyAlignment="1" applyProtection="1"/>
    <xf numFmtId="0" fontId="6" fillId="0" borderId="0" xfId="2"/>
    <xf numFmtId="0" fontId="7" fillId="2" borderId="0" xfId="0" applyFont="1" applyFill="1"/>
    <xf numFmtId="165" fontId="11" fillId="0" borderId="0" xfId="4" applyNumberFormat="1" applyFont="1" applyFill="1" applyBorder="1" applyAlignment="1" applyProtection="1"/>
    <xf numFmtId="164" fontId="11" fillId="0" borderId="0" xfId="4" applyFont="1" applyFill="1" applyBorder="1" applyAlignment="1" applyProtection="1">
      <alignment horizontal="right"/>
    </xf>
    <xf numFmtId="164" fontId="11" fillId="0" borderId="0" xfId="4" applyFont="1" applyFill="1" applyBorder="1" applyAlignment="1" applyProtection="1"/>
    <xf numFmtId="14" fontId="15" fillId="0" borderId="0" xfId="2" applyNumberFormat="1" applyFont="1"/>
    <xf numFmtId="165" fontId="16" fillId="0" borderId="0" xfId="4" applyNumberFormat="1" applyFont="1" applyFill="1" applyBorder="1" applyAlignment="1" applyProtection="1"/>
    <xf numFmtId="0" fontId="17" fillId="0" borderId="1" xfId="0" applyFont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49" fontId="17" fillId="0" borderId="1" xfId="0" applyNumberFormat="1" applyFont="1" applyBorder="1" applyAlignment="1">
      <alignment horizontal="left"/>
    </xf>
    <xf numFmtId="3" fontId="17" fillId="0" borderId="1" xfId="0" applyNumberFormat="1" applyFont="1" applyBorder="1" applyAlignment="1">
      <alignment horizontal="right"/>
    </xf>
    <xf numFmtId="14" fontId="17" fillId="0" borderId="1" xfId="0" applyNumberFormat="1" applyFont="1" applyBorder="1" applyAlignment="1">
      <alignment horizontal="center"/>
    </xf>
    <xf numFmtId="4" fontId="17" fillId="0" borderId="1" xfId="0" applyNumberFormat="1" applyFont="1" applyBorder="1" applyAlignment="1">
      <alignment horizontal="right"/>
    </xf>
    <xf numFmtId="4" fontId="17" fillId="2" borderId="1" xfId="3" applyNumberFormat="1" applyFont="1" applyFill="1" applyBorder="1" applyAlignment="1" applyProtection="1">
      <alignment horizontal="right"/>
    </xf>
    <xf numFmtId="4" fontId="17" fillId="2" borderId="1" xfId="0" applyNumberFormat="1" applyFont="1" applyFill="1" applyBorder="1" applyAlignment="1">
      <alignment horizontal="right"/>
    </xf>
    <xf numFmtId="49" fontId="17" fillId="0" borderId="1" xfId="0" applyNumberFormat="1" applyFont="1" applyBorder="1" applyAlignment="1">
      <alignment horizontal="center"/>
    </xf>
    <xf numFmtId="49" fontId="17" fillId="0" borderId="2" xfId="0" applyNumberFormat="1" applyFont="1" applyBorder="1" applyAlignment="1">
      <alignment horizontal="left"/>
    </xf>
    <xf numFmtId="0" fontId="14" fillId="0" borderId="0" xfId="0" applyFont="1"/>
    <xf numFmtId="0" fontId="6" fillId="0" borderId="0" xfId="0" applyFont="1"/>
    <xf numFmtId="49" fontId="17" fillId="0" borderId="1" xfId="0" applyNumberFormat="1" applyFont="1" applyBorder="1" applyAlignment="1">
      <alignment horizontal="left" wrapText="1"/>
    </xf>
    <xf numFmtId="49" fontId="17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3" fontId="18" fillId="0" borderId="0" xfId="0" applyNumberFormat="1" applyFont="1"/>
    <xf numFmtId="0" fontId="18" fillId="0" borderId="0" xfId="0" applyFont="1" applyAlignment="1">
      <alignment horizontal="right"/>
    </xf>
    <xf numFmtId="165" fontId="20" fillId="0" borderId="0" xfId="4" applyNumberFormat="1" applyFont="1" applyFill="1" applyBorder="1" applyAlignment="1" applyProtection="1"/>
    <xf numFmtId="164" fontId="21" fillId="0" borderId="0" xfId="4" applyFont="1" applyFill="1" applyBorder="1" applyAlignment="1" applyProtection="1"/>
    <xf numFmtId="0" fontId="21" fillId="0" borderId="0" xfId="2" applyFont="1"/>
    <xf numFmtId="2" fontId="18" fillId="0" borderId="0" xfId="0" applyNumberFormat="1" applyFont="1" applyAlignment="1">
      <alignment horizontal="right"/>
    </xf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2" fontId="17" fillId="0" borderId="1" xfId="0" applyNumberFormat="1" applyFont="1" applyBorder="1" applyAlignment="1">
      <alignment horizontal="right"/>
    </xf>
    <xf numFmtId="4" fontId="17" fillId="0" borderId="1" xfId="3" applyNumberFormat="1" applyFont="1" applyFill="1" applyBorder="1" applyAlignment="1" applyProtection="1">
      <alignment horizontal="right"/>
    </xf>
    <xf numFmtId="1" fontId="17" fillId="0" borderId="1" xfId="0" applyNumberFormat="1" applyFont="1" applyBorder="1" applyAlignment="1">
      <alignment horizontal="right"/>
    </xf>
    <xf numFmtId="0" fontId="17" fillId="0" borderId="3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4" fontId="17" fillId="0" borderId="3" xfId="0" applyNumberFormat="1" applyFont="1" applyBorder="1" applyAlignment="1">
      <alignment horizontal="right"/>
    </xf>
    <xf numFmtId="0" fontId="17" fillId="0" borderId="4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4" fontId="17" fillId="0" borderId="4" xfId="0" applyNumberFormat="1" applyFont="1" applyBorder="1" applyAlignment="1">
      <alignment horizontal="right"/>
    </xf>
    <xf numFmtId="0" fontId="17" fillId="0" borderId="5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/>
    </xf>
    <xf numFmtId="2" fontId="23" fillId="0" borderId="5" xfId="0" applyNumberFormat="1" applyFont="1" applyBorder="1" applyAlignment="1">
      <alignment horizontal="right"/>
    </xf>
    <xf numFmtId="0" fontId="36" fillId="0" borderId="0" xfId="0" applyFont="1"/>
    <xf numFmtId="164" fontId="24" fillId="0" borderId="0" xfId="4" applyFont="1" applyFill="1" applyBorder="1" applyAlignment="1">
      <alignment horizontal="right"/>
    </xf>
    <xf numFmtId="0" fontId="24" fillId="0" borderId="0" xfId="0" applyFont="1" applyAlignment="1">
      <alignment horizontal="left"/>
    </xf>
    <xf numFmtId="166" fontId="24" fillId="0" borderId="0" xfId="4" applyNumberFormat="1" applyFont="1" applyFill="1"/>
    <xf numFmtId="166" fontId="9" fillId="0" borderId="0" xfId="4" applyNumberFormat="1" applyFont="1" applyFill="1"/>
    <xf numFmtId="0" fontId="24" fillId="0" borderId="0" xfId="0" applyFont="1"/>
    <xf numFmtId="0" fontId="37" fillId="0" borderId="0" xfId="0" applyFont="1"/>
    <xf numFmtId="164" fontId="9" fillId="0" borderId="0" xfId="4" applyFont="1" applyFill="1" applyBorder="1" applyAlignment="1">
      <alignment horizontal="right"/>
    </xf>
    <xf numFmtId="0" fontId="25" fillId="0" borderId="0" xfId="0" applyFont="1"/>
    <xf numFmtId="166" fontId="25" fillId="0" borderId="0" xfId="4" applyNumberFormat="1" applyFont="1"/>
    <xf numFmtId="0" fontId="26" fillId="0" borderId="0" xfId="0" applyFont="1"/>
    <xf numFmtId="0" fontId="17" fillId="0" borderId="6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27" fillId="0" borderId="5" xfId="0" applyFont="1" applyBorder="1" applyAlignment="1">
      <alignment horizontal="left" vertical="center"/>
    </xf>
    <xf numFmtId="0" fontId="27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0" fontId="27" fillId="0" borderId="5" xfId="0" applyFont="1" applyBorder="1" applyAlignment="1">
      <alignment horizontal="right" vertical="center"/>
    </xf>
    <xf numFmtId="0" fontId="27" fillId="0" borderId="6" xfId="0" applyFont="1" applyBorder="1" applyAlignment="1">
      <alignment horizontal="right" vertical="center" wrapText="1"/>
    </xf>
    <xf numFmtId="0" fontId="27" fillId="0" borderId="5" xfId="0" applyFont="1" applyBorder="1" applyAlignment="1">
      <alignment horizontal="left" vertical="center" wrapText="1"/>
    </xf>
    <xf numFmtId="0" fontId="27" fillId="0" borderId="5" xfId="0" applyFont="1" applyBorder="1" applyAlignment="1">
      <alignment vertical="center" wrapText="1"/>
    </xf>
    <xf numFmtId="0" fontId="27" fillId="0" borderId="5" xfId="0" applyFont="1" applyBorder="1" applyAlignment="1">
      <alignment horizontal="right" vertical="center" wrapText="1"/>
    </xf>
    <xf numFmtId="14" fontId="9" fillId="0" borderId="0" xfId="4" applyNumberFormat="1" applyFont="1" applyFill="1"/>
    <xf numFmtId="14" fontId="27" fillId="0" borderId="5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top" wrapText="1"/>
    </xf>
    <xf numFmtId="3" fontId="27" fillId="0" borderId="5" xfId="0" applyNumberFormat="1" applyFont="1" applyBorder="1" applyAlignment="1">
      <alignment horizontal="right" vertical="center"/>
    </xf>
    <xf numFmtId="164" fontId="9" fillId="0" borderId="0" xfId="4" applyFont="1" applyFill="1" applyBorder="1" applyAlignment="1">
      <alignment horizontal="left"/>
    </xf>
    <xf numFmtId="14" fontId="15" fillId="0" borderId="0" xfId="0" applyNumberFormat="1" applyFont="1"/>
    <xf numFmtId="164" fontId="15" fillId="0" borderId="0" xfId="4" applyFont="1"/>
    <xf numFmtId="166" fontId="24" fillId="0" borderId="0" xfId="0" applyNumberFormat="1" applyFont="1"/>
    <xf numFmtId="14" fontId="28" fillId="0" borderId="0" xfId="0" applyNumberFormat="1" applyFont="1"/>
    <xf numFmtId="166" fontId="29" fillId="0" borderId="0" xfId="4" applyNumberFormat="1" applyFont="1"/>
    <xf numFmtId="164" fontId="24" fillId="0" borderId="0" xfId="4" applyFont="1"/>
    <xf numFmtId="0" fontId="30" fillId="0" borderId="0" xfId="0" applyFont="1"/>
    <xf numFmtId="0" fontId="31" fillId="0" borderId="0" xfId="0" applyFont="1"/>
    <xf numFmtId="166" fontId="30" fillId="0" borderId="0" xfId="4" applyNumberFormat="1" applyFont="1"/>
    <xf numFmtId="4" fontId="30" fillId="0" borderId="0" xfId="0" applyNumberFormat="1" applyFont="1"/>
    <xf numFmtId="4" fontId="30" fillId="0" borderId="0" xfId="4" applyNumberFormat="1" applyFont="1"/>
    <xf numFmtId="3" fontId="30" fillId="0" borderId="0" xfId="4" applyNumberFormat="1" applyFont="1"/>
    <xf numFmtId="4" fontId="32" fillId="0" borderId="0" xfId="0" applyNumberFormat="1" applyFont="1"/>
    <xf numFmtId="0" fontId="17" fillId="0" borderId="5" xfId="0" applyFont="1" applyBorder="1" applyAlignment="1">
      <alignment horizontal="center" vertical="top"/>
    </xf>
    <xf numFmtId="0" fontId="25" fillId="0" borderId="5" xfId="0" applyFont="1" applyBorder="1"/>
    <xf numFmtId="0" fontId="17" fillId="0" borderId="5" xfId="0" applyFont="1" applyBorder="1" applyAlignment="1">
      <alignment horizontal="center" wrapText="1"/>
    </xf>
    <xf numFmtId="0" fontId="17" fillId="0" borderId="5" xfId="0" applyFont="1" applyBorder="1" applyAlignment="1">
      <alignment horizontal="justify"/>
    </xf>
    <xf numFmtId="3" fontId="17" fillId="0" borderId="5" xfId="0" applyNumberFormat="1" applyFont="1" applyBorder="1" applyAlignment="1">
      <alignment horizontal="center"/>
    </xf>
    <xf numFmtId="0" fontId="17" fillId="0" borderId="5" xfId="0" applyFont="1" applyBorder="1" applyAlignment="1">
      <alignment horizontal="justify" wrapText="1"/>
    </xf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1" fillId="0" borderId="0" xfId="0" applyFont="1"/>
    <xf numFmtId="0" fontId="31" fillId="0" borderId="0" xfId="0" applyFont="1" applyAlignment="1">
      <alignment horizontal="justify" vertical="center"/>
    </xf>
    <xf numFmtId="14" fontId="17" fillId="0" borderId="5" xfId="0" applyNumberFormat="1" applyFont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/>
    </xf>
    <xf numFmtId="167" fontId="17" fillId="0" borderId="5" xfId="0" applyNumberFormat="1" applyFont="1" applyBorder="1" applyAlignment="1">
      <alignment horizontal="center" vertical="center" wrapText="1"/>
    </xf>
    <xf numFmtId="0" fontId="17" fillId="0" borderId="7" xfId="0" applyFont="1" applyBorder="1" applyAlignment="1">
      <alignment horizontal="justify"/>
    </xf>
    <xf numFmtId="0" fontId="17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 wrapText="1"/>
    </xf>
    <xf numFmtId="14" fontId="17" fillId="0" borderId="7" xfId="0" applyNumberFormat="1" applyFont="1" applyBorder="1" applyAlignment="1">
      <alignment horizontal="center" vertical="center" wrapText="1"/>
    </xf>
    <xf numFmtId="167" fontId="17" fillId="0" borderId="7" xfId="0" applyNumberFormat="1" applyFont="1" applyBorder="1" applyAlignment="1">
      <alignment horizontal="center" vertical="center" wrapText="1"/>
    </xf>
    <xf numFmtId="3" fontId="17" fillId="0" borderId="7" xfId="0" applyNumberFormat="1" applyFont="1" applyBorder="1" applyAlignment="1">
      <alignment horizontal="center"/>
    </xf>
    <xf numFmtId="4" fontId="17" fillId="0" borderId="7" xfId="0" applyNumberFormat="1" applyFont="1" applyBorder="1" applyAlignment="1">
      <alignment horizontal="right" vertical="center" wrapText="1"/>
    </xf>
    <xf numFmtId="3" fontId="17" fillId="0" borderId="5" xfId="0" applyNumberFormat="1" applyFont="1" applyBorder="1" applyAlignment="1">
      <alignment horizontal="right"/>
    </xf>
    <xf numFmtId="49" fontId="17" fillId="0" borderId="5" xfId="0" applyNumberFormat="1" applyFont="1" applyBorder="1" applyAlignment="1">
      <alignment horizontal="left" vertical="center"/>
    </xf>
    <xf numFmtId="49" fontId="17" fillId="0" borderId="5" xfId="0" applyNumberFormat="1" applyFont="1" applyBorder="1" applyAlignment="1">
      <alignment horizontal="left" vertical="center" wrapText="1"/>
    </xf>
    <xf numFmtId="2" fontId="17" fillId="0" borderId="5" xfId="0" applyNumberFormat="1" applyFont="1" applyBorder="1" applyAlignment="1">
      <alignment horizontal="right" vertical="center"/>
    </xf>
    <xf numFmtId="2" fontId="17" fillId="0" borderId="5" xfId="0" applyNumberFormat="1" applyFont="1" applyBorder="1" applyAlignment="1">
      <alignment horizontal="right" vertical="center" wrapText="1"/>
    </xf>
    <xf numFmtId="14" fontId="17" fillId="0" borderId="5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" fontId="17" fillId="0" borderId="5" xfId="0" applyNumberFormat="1" applyFont="1" applyBorder="1" applyAlignment="1">
      <alignment horizontal="right" vertical="center"/>
    </xf>
    <xf numFmtId="4" fontId="17" fillId="0" borderId="5" xfId="0" applyNumberFormat="1" applyFont="1" applyBorder="1" applyAlignment="1">
      <alignment horizontal="right"/>
    </xf>
    <xf numFmtId="0" fontId="10" fillId="0" borderId="0" xfId="2" applyFont="1" applyAlignment="1">
      <alignment horizontal="left" vertical="center" wrapText="1"/>
    </xf>
    <xf numFmtId="3" fontId="9" fillId="0" borderId="0" xfId="2" applyNumberFormat="1" applyFont="1" applyAlignment="1">
      <alignment horizontal="right" vertical="top"/>
    </xf>
    <xf numFmtId="4" fontId="38" fillId="0" borderId="0" xfId="0" applyNumberFormat="1" applyFont="1" applyAlignment="1">
      <alignment horizontal="right" vertical="top"/>
    </xf>
    <xf numFmtId="0" fontId="38" fillId="0" borderId="0" xfId="2" applyFont="1" applyAlignment="1">
      <alignment horizontal="left" vertical="center" wrapText="1"/>
    </xf>
    <xf numFmtId="0" fontId="33" fillId="0" borderId="0" xfId="2" applyFont="1" applyAlignment="1">
      <alignment horizontal="left" vertical="center" wrapText="1"/>
    </xf>
    <xf numFmtId="14" fontId="36" fillId="0" borderId="0" xfId="0" applyNumberFormat="1" applyFont="1"/>
    <xf numFmtId="0" fontId="36" fillId="0" borderId="0" xfId="0" applyFont="1" applyAlignment="1">
      <alignment horizontal="center"/>
    </xf>
    <xf numFmtId="14" fontId="37" fillId="0" borderId="0" xfId="0" applyNumberFormat="1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35" fillId="0" borderId="0" xfId="0" applyFont="1" applyAlignment="1">
      <alignment horizontal="center"/>
    </xf>
    <xf numFmtId="4" fontId="37" fillId="0" borderId="0" xfId="0" applyNumberFormat="1" applyFont="1" applyAlignment="1">
      <alignment horizontal="right" vertical="top"/>
    </xf>
    <xf numFmtId="0" fontId="34" fillId="0" borderId="0" xfId="2" applyFont="1"/>
    <xf numFmtId="3" fontId="42" fillId="0" borderId="0" xfId="0" applyNumberFormat="1" applyFont="1" applyAlignment="1">
      <alignment vertical="top"/>
    </xf>
    <xf numFmtId="4" fontId="8" fillId="0" borderId="0" xfId="0" applyNumberFormat="1" applyFont="1" applyAlignment="1">
      <alignment horizontal="right" vertical="top"/>
    </xf>
    <xf numFmtId="3" fontId="37" fillId="0" borderId="0" xfId="0" applyNumberFormat="1" applyFont="1" applyAlignment="1">
      <alignment horizontal="right" vertical="top"/>
    </xf>
    <xf numFmtId="3" fontId="8" fillId="0" borderId="0" xfId="0" applyNumberFormat="1" applyFont="1" applyAlignment="1">
      <alignment horizontal="right" vertical="top"/>
    </xf>
    <xf numFmtId="4" fontId="10" fillId="0" borderId="0" xfId="0" applyNumberFormat="1" applyFont="1" applyAlignment="1">
      <alignment horizontal="right" vertical="top"/>
    </xf>
    <xf numFmtId="4" fontId="36" fillId="0" borderId="0" xfId="0" applyNumberFormat="1" applyFont="1"/>
    <xf numFmtId="4" fontId="36" fillId="0" borderId="0" xfId="0" applyNumberFormat="1" applyFont="1" applyAlignment="1">
      <alignment horizontal="right"/>
    </xf>
    <xf numFmtId="49" fontId="36" fillId="0" borderId="0" xfId="0" applyNumberFormat="1" applyFont="1"/>
    <xf numFmtId="49" fontId="9" fillId="0" borderId="0" xfId="5" applyNumberFormat="1" applyFont="1"/>
    <xf numFmtId="4" fontId="7" fillId="0" borderId="0" xfId="0" applyNumberFormat="1" applyFont="1" applyAlignment="1">
      <alignment horizontal="right"/>
    </xf>
    <xf numFmtId="0" fontId="4" fillId="0" borderId="0" xfId="9"/>
    <xf numFmtId="0" fontId="44" fillId="0" borderId="0" xfId="9" applyFont="1"/>
    <xf numFmtId="0" fontId="45" fillId="0" borderId="0" xfId="9" applyFont="1"/>
    <xf numFmtId="0" fontId="10" fillId="0" borderId="15" xfId="2" applyFont="1" applyBorder="1"/>
    <xf numFmtId="0" fontId="10" fillId="0" borderId="15" xfId="2" applyFont="1" applyBorder="1" applyAlignment="1">
      <alignment horizontal="left" vertical="center" wrapText="1"/>
    </xf>
    <xf numFmtId="3" fontId="10" fillId="0" borderId="15" xfId="2" applyNumberFormat="1" applyFont="1" applyBorder="1" applyAlignment="1">
      <alignment horizontal="right" vertical="top"/>
    </xf>
    <xf numFmtId="0" fontId="23" fillId="0" borderId="17" xfId="12" applyFont="1" applyBorder="1" applyAlignment="1">
      <alignment horizontal="center" vertical="top" wrapText="1"/>
    </xf>
    <xf numFmtId="3" fontId="46" fillId="0" borderId="0" xfId="12" applyNumberFormat="1" applyFont="1" applyAlignment="1">
      <alignment horizontal="right"/>
    </xf>
    <xf numFmtId="0" fontId="12" fillId="0" borderId="16" xfId="12" applyFont="1" applyBorder="1" applyAlignment="1">
      <alignment horizontal="center" vertical="top" wrapText="1"/>
    </xf>
    <xf numFmtId="0" fontId="12" fillId="0" borderId="18" xfId="13" applyFont="1" applyBorder="1" applyAlignment="1">
      <alignment horizontal="center" vertical="top" wrapText="1"/>
    </xf>
    <xf numFmtId="0" fontId="23" fillId="0" borderId="17" xfId="13" applyFont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/>
    </xf>
    <xf numFmtId="0" fontId="11" fillId="0" borderId="5" xfId="13" applyFont="1" applyBorder="1" applyAlignment="1">
      <alignment horizontal="center" vertical="top" wrapText="1"/>
    </xf>
    <xf numFmtId="0" fontId="37" fillId="0" borderId="0" xfId="15" applyFont="1"/>
    <xf numFmtId="0" fontId="36" fillId="0" borderId="0" xfId="15" applyFont="1"/>
    <xf numFmtId="0" fontId="2" fillId="0" borderId="0" xfId="15"/>
    <xf numFmtId="14" fontId="9" fillId="0" borderId="0" xfId="15" applyNumberFormat="1" applyFont="1"/>
    <xf numFmtId="0" fontId="9" fillId="0" borderId="0" xfId="15" applyFont="1" applyAlignment="1">
      <alignment horizontal="center"/>
    </xf>
    <xf numFmtId="0" fontId="25" fillId="0" borderId="0" xfId="2" applyFont="1"/>
    <xf numFmtId="166" fontId="25" fillId="0" borderId="0" xfId="7" applyNumberFormat="1" applyFont="1"/>
    <xf numFmtId="166" fontId="24" fillId="0" borderId="0" xfId="7" applyNumberFormat="1" applyFont="1" applyFill="1"/>
    <xf numFmtId="0" fontId="24" fillId="0" borderId="0" xfId="2" applyFont="1"/>
    <xf numFmtId="168" fontId="24" fillId="0" borderId="0" xfId="7" applyFont="1" applyFill="1" applyBorder="1" applyAlignment="1">
      <alignment horizontal="right"/>
    </xf>
    <xf numFmtId="168" fontId="24" fillId="0" borderId="0" xfId="7" applyFont="1"/>
    <xf numFmtId="14" fontId="28" fillId="0" borderId="0" xfId="2" applyNumberFormat="1" applyFont="1"/>
    <xf numFmtId="166" fontId="29" fillId="0" borderId="0" xfId="7" applyNumberFormat="1" applyFont="1"/>
    <xf numFmtId="168" fontId="25" fillId="0" borderId="0" xfId="7" applyFont="1"/>
    <xf numFmtId="0" fontId="17" fillId="0" borderId="5" xfId="15" applyFont="1" applyBorder="1" applyAlignment="1">
      <alignment horizontal="center" vertical="top" wrapText="1"/>
    </xf>
    <xf numFmtId="166" fontId="14" fillId="0" borderId="0" xfId="7" applyNumberFormat="1" applyFont="1"/>
    <xf numFmtId="168" fontId="14" fillId="0" borderId="0" xfId="7" applyFont="1"/>
    <xf numFmtId="166" fontId="25" fillId="0" borderId="0" xfId="7" applyNumberFormat="1" applyFont="1" applyFill="1"/>
    <xf numFmtId="4" fontId="17" fillId="0" borderId="5" xfId="15" applyNumberFormat="1" applyFont="1" applyBorder="1" applyAlignment="1">
      <alignment horizontal="center" vertical="top" wrapText="1"/>
    </xf>
    <xf numFmtId="14" fontId="17" fillId="0" borderId="5" xfId="15" applyNumberFormat="1" applyFont="1" applyBorder="1" applyAlignment="1">
      <alignment horizontal="center" vertical="top" wrapText="1"/>
    </xf>
    <xf numFmtId="49" fontId="17" fillId="0" borderId="5" xfId="15" applyNumberFormat="1" applyFont="1" applyBorder="1" applyAlignment="1">
      <alignment horizontal="center" vertical="top" wrapText="1"/>
    </xf>
    <xf numFmtId="49" fontId="9" fillId="0" borderId="0" xfId="15" applyNumberFormat="1" applyFont="1"/>
    <xf numFmtId="0" fontId="37" fillId="0" borderId="0" xfId="16" applyFont="1"/>
    <xf numFmtId="0" fontId="48" fillId="0" borderId="5" xfId="16" applyFont="1" applyBorder="1" applyAlignment="1">
      <alignment horizontal="center" vertical="center" wrapText="1"/>
    </xf>
    <xf numFmtId="0" fontId="10" fillId="0" borderId="0" xfId="16" applyFont="1"/>
    <xf numFmtId="0" fontId="9" fillId="0" borderId="0" xfId="16" applyFont="1"/>
    <xf numFmtId="14" fontId="9" fillId="0" borderId="0" xfId="16" applyNumberFormat="1" applyFont="1"/>
    <xf numFmtId="0" fontId="9" fillId="0" borderId="0" xfId="16" applyFont="1" applyAlignment="1">
      <alignment horizontal="center"/>
    </xf>
    <xf numFmtId="49" fontId="47" fillId="0" borderId="5" xfId="16" applyNumberFormat="1" applyFont="1" applyBorder="1" applyAlignment="1">
      <alignment horizontal="center" vertical="top" wrapText="1"/>
    </xf>
    <xf numFmtId="4" fontId="17" fillId="0" borderId="5" xfId="16" applyNumberFormat="1" applyFont="1" applyBorder="1" applyAlignment="1">
      <alignment horizontal="center" vertical="top"/>
    </xf>
    <xf numFmtId="49" fontId="47" fillId="0" borderId="5" xfId="16" applyNumberFormat="1" applyFont="1" applyBorder="1" applyAlignment="1">
      <alignment horizontal="center" vertical="top"/>
    </xf>
    <xf numFmtId="49" fontId="23" fillId="0" borderId="1" xfId="12" applyNumberFormat="1" applyFont="1" applyBorder="1" applyAlignment="1">
      <alignment horizontal="left"/>
    </xf>
    <xf numFmtId="49" fontId="23" fillId="0" borderId="18" xfId="13" applyNumberFormat="1" applyFont="1" applyBorder="1" applyAlignment="1">
      <alignment horizontal="left"/>
    </xf>
    <xf numFmtId="49" fontId="17" fillId="0" borderId="5" xfId="13" applyNumberFormat="1" applyFont="1" applyBorder="1" applyAlignment="1">
      <alignment horizontal="left"/>
    </xf>
    <xf numFmtId="4" fontId="17" fillId="0" borderId="5" xfId="15" applyNumberFormat="1" applyFont="1" applyBorder="1" applyAlignment="1">
      <alignment horizontal="left" vertical="top" wrapText="1"/>
    </xf>
    <xf numFmtId="49" fontId="47" fillId="0" borderId="5" xfId="16" applyNumberFormat="1" applyFont="1" applyBorder="1" applyAlignment="1">
      <alignment horizontal="left" vertical="top" wrapText="1"/>
    </xf>
    <xf numFmtId="0" fontId="8" fillId="2" borderId="19" xfId="0" applyFont="1" applyFill="1" applyBorder="1" applyAlignment="1">
      <alignment horizontal="center"/>
    </xf>
    <xf numFmtId="49" fontId="17" fillId="0" borderId="5" xfId="18" applyNumberFormat="1" applyFont="1" applyBorder="1" applyAlignment="1">
      <alignment horizontal="left"/>
    </xf>
    <xf numFmtId="0" fontId="11" fillId="0" borderId="5" xfId="18" applyFont="1" applyBorder="1" applyAlignment="1">
      <alignment horizontal="center" vertical="top" wrapText="1"/>
    </xf>
    <xf numFmtId="0" fontId="17" fillId="0" borderId="5" xfId="18" applyFont="1" applyBorder="1" applyAlignment="1">
      <alignment horizontal="center" vertical="top" wrapText="1"/>
    </xf>
    <xf numFmtId="0" fontId="12" fillId="0" borderId="5" xfId="19" applyFont="1" applyBorder="1" applyAlignment="1">
      <alignment horizontal="center" vertical="top" wrapText="1"/>
    </xf>
    <xf numFmtId="49" fontId="23" fillId="0" borderId="5" xfId="19" applyNumberFormat="1" applyFont="1" applyBorder="1" applyAlignment="1">
      <alignment horizontal="left" vertical="center" wrapText="1"/>
    </xf>
    <xf numFmtId="49" fontId="23" fillId="0" borderId="18" xfId="19" applyNumberFormat="1" applyFont="1" applyBorder="1" applyAlignment="1">
      <alignment horizontal="left"/>
    </xf>
    <xf numFmtId="0" fontId="12" fillId="0" borderId="18" xfId="19" applyFont="1" applyBorder="1" applyAlignment="1">
      <alignment horizontal="center" vertical="top" wrapText="1"/>
    </xf>
    <xf numFmtId="0" fontId="23" fillId="0" borderId="17" xfId="19" applyFont="1" applyBorder="1" applyAlignment="1">
      <alignment horizontal="center" vertical="top" wrapText="1"/>
    </xf>
    <xf numFmtId="0" fontId="11" fillId="0" borderId="5" xfId="19" applyFont="1" applyBorder="1" applyAlignment="1">
      <alignment horizontal="center" vertical="top" wrapText="1"/>
    </xf>
    <xf numFmtId="0" fontId="17" fillId="0" borderId="20" xfId="19" applyFont="1" applyBorder="1" applyAlignment="1">
      <alignment horizontal="center" vertical="top" wrapText="1"/>
    </xf>
    <xf numFmtId="49" fontId="17" fillId="0" borderId="5" xfId="19" applyNumberFormat="1" applyFont="1" applyBorder="1" applyAlignment="1">
      <alignment horizontal="justify"/>
    </xf>
    <xf numFmtId="0" fontId="17" fillId="0" borderId="5" xfId="19" applyFont="1" applyBorder="1" applyAlignment="1">
      <alignment horizontal="center" vertical="center"/>
    </xf>
    <xf numFmtId="49" fontId="17" fillId="0" borderId="20" xfId="19" applyNumberFormat="1" applyFont="1" applyBorder="1" applyAlignment="1">
      <alignment horizontal="justify"/>
    </xf>
    <xf numFmtId="49" fontId="17" fillId="0" borderId="5" xfId="19" applyNumberFormat="1" applyFont="1" applyBorder="1" applyAlignment="1">
      <alignment horizontal="left" vertical="center"/>
    </xf>
    <xf numFmtId="169" fontId="18" fillId="0" borderId="0" xfId="0" applyNumberFormat="1" applyFont="1" applyAlignment="1">
      <alignment horizontal="right"/>
    </xf>
    <xf numFmtId="0" fontId="38" fillId="0" borderId="0" xfId="2" applyFont="1" applyAlignment="1">
      <alignment horizontal="left" wrapText="1"/>
    </xf>
    <xf numFmtId="0" fontId="36" fillId="0" borderId="0" xfId="0" applyFont="1" applyAlignment="1">
      <alignment horizontal="left"/>
    </xf>
    <xf numFmtId="0" fontId="10" fillId="0" borderId="0" xfId="2" applyFont="1" applyAlignment="1">
      <alignment horizontal="left" vertical="center" wrapText="1"/>
    </xf>
    <xf numFmtId="49" fontId="36" fillId="0" borderId="0" xfId="0" applyNumberFormat="1" applyFont="1" applyAlignment="1">
      <alignment horizontal="left"/>
    </xf>
    <xf numFmtId="0" fontId="38" fillId="0" borderId="0" xfId="2" applyFont="1" applyAlignment="1">
      <alignment horizontal="left" vertical="center" wrapText="1"/>
    </xf>
    <xf numFmtId="0" fontId="43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2" applyFont="1" applyAlignment="1">
      <alignment horizontal="left" wrapText="1"/>
    </xf>
    <xf numFmtId="0" fontId="17" fillId="0" borderId="1" xfId="0" applyFont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/>
    </xf>
    <xf numFmtId="14" fontId="7" fillId="2" borderId="0" xfId="0" applyNumberFormat="1" applyFont="1" applyFill="1" applyAlignment="1">
      <alignment horizontal="left"/>
    </xf>
    <xf numFmtId="0" fontId="8" fillId="2" borderId="3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/>
    <xf numFmtId="0" fontId="17" fillId="0" borderId="7" xfId="0" applyFont="1" applyBorder="1" applyAlignment="1">
      <alignment horizontal="center" vertical="top" wrapText="1"/>
    </xf>
    <xf numFmtId="0" fontId="17" fillId="0" borderId="8" xfId="0" applyFont="1" applyBorder="1" applyAlignment="1">
      <alignment horizontal="center" vertical="top" wrapText="1"/>
    </xf>
    <xf numFmtId="0" fontId="23" fillId="0" borderId="7" xfId="0" applyFont="1" applyBorder="1" applyAlignment="1">
      <alignment horizontal="center" vertical="top" wrapText="1"/>
    </xf>
    <xf numFmtId="0" fontId="23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17" fillId="0" borderId="11" xfId="0" applyFont="1" applyBorder="1" applyAlignment="1">
      <alignment horizontal="center" vertical="top" wrapText="1"/>
    </xf>
    <xf numFmtId="0" fontId="17" fillId="0" borderId="12" xfId="0" applyFont="1" applyBorder="1" applyAlignment="1">
      <alignment horizontal="center" vertical="top" wrapText="1"/>
    </xf>
    <xf numFmtId="0" fontId="17" fillId="0" borderId="13" xfId="0" applyFont="1" applyBorder="1" applyAlignment="1">
      <alignment horizontal="center" vertical="top" wrapText="1"/>
    </xf>
    <xf numFmtId="0" fontId="17" fillId="0" borderId="14" xfId="0" applyFont="1" applyBorder="1" applyAlignment="1">
      <alignment horizontal="center" vertical="top" wrapText="1"/>
    </xf>
    <xf numFmtId="0" fontId="23" fillId="0" borderId="20" xfId="19" applyFont="1" applyBorder="1" applyAlignment="1">
      <alignment horizontal="center" vertical="top" wrapText="1"/>
    </xf>
    <xf numFmtId="0" fontId="23" fillId="0" borderId="8" xfId="19" applyFont="1" applyBorder="1" applyAlignment="1">
      <alignment horizontal="center" vertical="top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20" xfId="19" applyFont="1" applyBorder="1" applyAlignment="1">
      <alignment horizontal="center" vertical="center" wrapText="1"/>
    </xf>
    <xf numFmtId="0" fontId="1" fillId="0" borderId="8" xfId="19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</cellXfs>
  <cellStyles count="21">
    <cellStyle name="Обычный" xfId="0" builtinId="0"/>
    <cellStyle name="Обычный 2" xfId="1" xr:uid="{00000000-0005-0000-0000-000001000000}"/>
    <cellStyle name="Обычный 2 2" xfId="6" xr:uid="{00000000-0005-0000-0000-000002000000}"/>
    <cellStyle name="Обычный 2 3" xfId="10" xr:uid="{00000000-0005-0000-0000-000003000000}"/>
    <cellStyle name="Обычный 2 4" xfId="13" xr:uid="{00000000-0005-0000-0000-000004000000}"/>
    <cellStyle name="Обычный 2 5" xfId="16" xr:uid="{00000000-0005-0000-0000-000005000000}"/>
    <cellStyle name="Обычный 2 6" xfId="19" xr:uid="{00000000-0005-0000-0000-000006000000}"/>
    <cellStyle name="Обычный 3" xfId="2" xr:uid="{00000000-0005-0000-0000-000007000000}"/>
    <cellStyle name="Обычный 4" xfId="5" xr:uid="{00000000-0005-0000-0000-000008000000}"/>
    <cellStyle name="Обычный 5" xfId="9" xr:uid="{00000000-0005-0000-0000-000009000000}"/>
    <cellStyle name="Обычный 6" xfId="12" xr:uid="{00000000-0005-0000-0000-00000A000000}"/>
    <cellStyle name="Обычный 7" xfId="15" xr:uid="{00000000-0005-0000-0000-00000B000000}"/>
    <cellStyle name="Обычный 8" xfId="18" xr:uid="{00000000-0005-0000-0000-00000C000000}"/>
    <cellStyle name="Финансовый" xfId="3" builtinId="3"/>
    <cellStyle name="Финансовый 2" xfId="4" xr:uid="{00000000-0005-0000-0000-00000E000000}"/>
    <cellStyle name="Финансовый 2 2" xfId="7" xr:uid="{00000000-0005-0000-0000-00000F000000}"/>
    <cellStyle name="Финансовый 3" xfId="8" xr:uid="{00000000-0005-0000-0000-000010000000}"/>
    <cellStyle name="Финансовый 4" xfId="11" xr:uid="{00000000-0005-0000-0000-000011000000}"/>
    <cellStyle name="Финансовый 5" xfId="14" xr:uid="{00000000-0005-0000-0000-000012000000}"/>
    <cellStyle name="Финансовый 6" xfId="17" xr:uid="{00000000-0005-0000-0000-000013000000}"/>
    <cellStyle name="Финансовый 7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3">
    <pageSetUpPr fitToPage="1"/>
  </sheetPr>
  <dimension ref="A1:L63"/>
  <sheetViews>
    <sheetView tabSelected="1" zoomScaleNormal="100" workbookViewId="0">
      <selection activeCell="A6" sqref="A6"/>
    </sheetView>
  </sheetViews>
  <sheetFormatPr defaultColWidth="9" defaultRowHeight="14.4"/>
  <cols>
    <col min="1" max="5" width="9.109375" customWidth="1"/>
    <col min="6" max="6" width="7.109375" customWidth="1"/>
    <col min="7" max="7" width="12.44140625" customWidth="1"/>
    <col min="8" max="8" width="15.109375" customWidth="1"/>
    <col min="9" max="9" width="26.6640625" customWidth="1"/>
    <col min="10" max="11" width="12.6640625" customWidth="1"/>
    <col min="12" max="12" width="14.6640625" customWidth="1"/>
  </cols>
  <sheetData>
    <row r="1" spans="1:12">
      <c r="A1" s="62" t="s">
        <v>0</v>
      </c>
      <c r="B1" s="62"/>
      <c r="C1" s="68"/>
      <c r="D1" s="68"/>
      <c r="E1" s="68"/>
      <c r="F1" s="68"/>
      <c r="G1" s="136" t="s">
        <v>1</v>
      </c>
      <c r="H1" s="137" t="s">
        <v>2</v>
      </c>
      <c r="I1" s="136" t="s">
        <v>3</v>
      </c>
    </row>
    <row r="2" spans="1:12">
      <c r="A2" s="221" t="s">
        <v>253</v>
      </c>
      <c r="B2" s="221"/>
      <c r="C2" s="221"/>
      <c r="D2" s="68"/>
      <c r="E2" s="68"/>
      <c r="F2" s="68"/>
      <c r="G2" s="136"/>
      <c r="H2" s="137"/>
      <c r="I2" s="136" t="s">
        <v>254</v>
      </c>
    </row>
    <row r="3" spans="1:12">
      <c r="A3" s="68" t="s">
        <v>4</v>
      </c>
      <c r="B3" s="68"/>
      <c r="C3" s="68"/>
      <c r="D3" s="62" t="s">
        <v>5</v>
      </c>
      <c r="E3" s="68"/>
      <c r="F3" s="68"/>
      <c r="G3" s="68"/>
      <c r="H3" s="68"/>
      <c r="I3" s="68"/>
    </row>
    <row r="4" spans="1:12">
      <c r="A4" s="68" t="s">
        <v>6</v>
      </c>
      <c r="B4" s="68"/>
      <c r="C4" s="68"/>
      <c r="D4" s="62" t="s">
        <v>7</v>
      </c>
      <c r="E4" s="68"/>
      <c r="F4" s="68"/>
      <c r="G4" s="138"/>
      <c r="H4" s="68"/>
      <c r="I4" s="68"/>
    </row>
    <row r="5" spans="1:12">
      <c r="A5" s="68" t="s">
        <v>8</v>
      </c>
      <c r="B5" s="68"/>
      <c r="C5" s="68"/>
      <c r="D5" s="62" t="s">
        <v>9</v>
      </c>
      <c r="E5" s="68"/>
      <c r="F5" s="68"/>
      <c r="G5" s="68"/>
      <c r="H5" s="68"/>
      <c r="I5" s="68"/>
    </row>
    <row r="6" spans="1:12">
      <c r="E6" s="68"/>
      <c r="F6" s="68"/>
      <c r="G6" s="68"/>
      <c r="H6" s="68"/>
      <c r="I6" s="68"/>
    </row>
    <row r="7" spans="1:12">
      <c r="A7" s="152" t="s">
        <v>256</v>
      </c>
      <c r="B7" s="152"/>
      <c r="C7" s="152"/>
      <c r="D7" s="152"/>
      <c r="E7" s="152"/>
      <c r="F7" s="152"/>
      <c r="G7" s="136" t="s">
        <v>257</v>
      </c>
      <c r="H7" s="152"/>
      <c r="I7" s="153" t="s">
        <v>258</v>
      </c>
      <c r="L7" s="151"/>
    </row>
    <row r="8" spans="1:12">
      <c r="A8" s="68"/>
      <c r="B8" s="68"/>
      <c r="C8" s="68"/>
      <c r="D8" s="150"/>
      <c r="E8" s="68"/>
      <c r="F8" s="68"/>
      <c r="G8" s="68"/>
      <c r="H8" s="68"/>
      <c r="I8" s="68"/>
    </row>
    <row r="9" spans="1:12">
      <c r="A9" s="223" t="s">
        <v>381</v>
      </c>
      <c r="B9" s="223"/>
      <c r="C9" s="223"/>
      <c r="D9" s="223"/>
      <c r="E9" s="223"/>
      <c r="F9" s="223"/>
      <c r="G9" s="223"/>
      <c r="H9" s="223"/>
      <c r="I9" s="223"/>
      <c r="L9" s="154" t="s">
        <v>384</v>
      </c>
    </row>
    <row r="10" spans="1:12">
      <c r="A10" s="223" t="s">
        <v>382</v>
      </c>
      <c r="B10" s="223"/>
      <c r="C10" s="223"/>
      <c r="D10" s="223"/>
      <c r="E10" s="223"/>
      <c r="F10" s="223"/>
      <c r="G10" s="223"/>
      <c r="H10" s="223"/>
      <c r="I10" s="223"/>
      <c r="L10" s="154" t="s">
        <v>385</v>
      </c>
    </row>
    <row r="11" spans="1:12">
      <c r="A11" s="223" t="s">
        <v>383</v>
      </c>
      <c r="B11" s="223"/>
      <c r="C11" s="223"/>
      <c r="D11" s="223"/>
      <c r="E11" s="223"/>
      <c r="F11" s="223"/>
      <c r="G11" s="223"/>
      <c r="H11" s="223"/>
      <c r="I11" s="223"/>
      <c r="L11" s="154" t="s">
        <v>386</v>
      </c>
    </row>
    <row r="12" spans="1:12">
      <c r="A12" s="68"/>
      <c r="B12" s="68"/>
      <c r="C12" s="68"/>
      <c r="D12" s="150"/>
      <c r="E12" s="68"/>
      <c r="F12" s="68"/>
      <c r="G12" s="68"/>
      <c r="H12" s="68"/>
      <c r="I12" s="68"/>
    </row>
    <row r="13" spans="1:12" ht="18">
      <c r="A13" s="139" t="s">
        <v>245</v>
      </c>
      <c r="B13" s="140"/>
      <c r="C13" s="140"/>
      <c r="D13" s="141"/>
      <c r="I13" s="142" t="s">
        <v>309</v>
      </c>
      <c r="J13" s="142" t="s">
        <v>246</v>
      </c>
      <c r="K13" s="142" t="s">
        <v>310</v>
      </c>
      <c r="L13" s="142" t="s">
        <v>247</v>
      </c>
    </row>
    <row r="14" spans="1:12">
      <c r="A14" s="7" t="s">
        <v>259</v>
      </c>
      <c r="B14" s="7"/>
      <c r="C14" s="7"/>
      <c r="D14" s="7"/>
      <c r="E14" s="8"/>
      <c r="F14" s="8"/>
      <c r="G14" s="8"/>
      <c r="H14" s="8"/>
      <c r="I14" s="6" t="s">
        <v>333</v>
      </c>
      <c r="J14" s="6"/>
      <c r="K14" s="6"/>
      <c r="L14" s="6">
        <f t="shared" ref="L14:L49" si="0">SUM($I14,$J14,$K14)</f>
        <v>0</v>
      </c>
    </row>
    <row r="15" spans="1:12">
      <c r="A15" s="68"/>
      <c r="B15" s="68" t="s">
        <v>10</v>
      </c>
      <c r="C15" s="68"/>
      <c r="D15" s="68"/>
      <c r="E15" s="5"/>
      <c r="F15" s="5"/>
      <c r="G15" s="5"/>
      <c r="H15" s="5"/>
      <c r="I15" s="6" t="s">
        <v>11</v>
      </c>
      <c r="J15" s="146"/>
      <c r="K15" s="146"/>
      <c r="L15" s="6">
        <f t="shared" si="0"/>
        <v>0</v>
      </c>
    </row>
    <row r="16" spans="1:12">
      <c r="A16" s="68"/>
      <c r="B16" s="68" t="s">
        <v>289</v>
      </c>
      <c r="C16" s="68"/>
      <c r="D16" s="68"/>
      <c r="E16" s="5"/>
      <c r="F16" s="5"/>
      <c r="G16" s="5"/>
      <c r="H16" s="5"/>
      <c r="I16" s="6" t="s">
        <v>12</v>
      </c>
      <c r="J16" s="146"/>
      <c r="K16" s="146"/>
      <c r="L16" s="6">
        <f t="shared" si="0"/>
        <v>0</v>
      </c>
    </row>
    <row r="17" spans="1:12">
      <c r="A17" s="68"/>
      <c r="B17" s="68"/>
      <c r="C17" s="68" t="s">
        <v>290</v>
      </c>
      <c r="D17" s="68"/>
      <c r="E17" s="5"/>
      <c r="F17" s="5"/>
      <c r="G17" s="5"/>
      <c r="H17" s="5"/>
      <c r="I17" s="6" t="s">
        <v>291</v>
      </c>
      <c r="J17" s="146"/>
      <c r="K17" s="146"/>
      <c r="L17" s="6">
        <f t="shared" si="0"/>
        <v>0</v>
      </c>
    </row>
    <row r="18" spans="1:12">
      <c r="A18" s="7" t="s">
        <v>255</v>
      </c>
      <c r="B18" s="7"/>
      <c r="C18" s="7"/>
      <c r="D18" s="7"/>
      <c r="E18" s="8"/>
      <c r="F18" s="8"/>
      <c r="G18" s="8"/>
      <c r="H18" s="8"/>
      <c r="I18" s="6" t="s">
        <v>13</v>
      </c>
      <c r="J18" s="143"/>
      <c r="K18" s="143"/>
      <c r="L18" s="6">
        <f t="shared" si="0"/>
        <v>0</v>
      </c>
    </row>
    <row r="19" spans="1:12" s="2" customFormat="1" ht="13.8">
      <c r="A19" s="7" t="s">
        <v>248</v>
      </c>
      <c r="B19" s="7"/>
      <c r="C19" s="7"/>
      <c r="D19" s="7"/>
      <c r="E19" s="8"/>
      <c r="F19" s="8"/>
      <c r="G19" s="8"/>
      <c r="H19" s="8"/>
      <c r="I19" s="6" t="s">
        <v>14</v>
      </c>
      <c r="J19" s="6" t="s">
        <v>334</v>
      </c>
      <c r="K19" s="6"/>
      <c r="L19" s="6">
        <f t="shared" si="0"/>
        <v>0</v>
      </c>
    </row>
    <row r="20" spans="1:12" s="2" customFormat="1" ht="13.8">
      <c r="A20" s="7" t="s">
        <v>260</v>
      </c>
      <c r="B20" s="7"/>
      <c r="C20" s="7"/>
      <c r="D20" s="7"/>
      <c r="E20" s="8"/>
      <c r="F20" s="8"/>
      <c r="G20" s="8"/>
      <c r="H20" s="8"/>
      <c r="I20" s="6" t="s">
        <v>15</v>
      </c>
      <c r="J20" s="146"/>
      <c r="K20" s="146"/>
      <c r="L20" s="6">
        <f t="shared" si="0"/>
        <v>0</v>
      </c>
    </row>
    <row r="21" spans="1:12" s="11" customFormat="1">
      <c r="A21" s="7" t="s">
        <v>261</v>
      </c>
      <c r="B21" s="9"/>
      <c r="C21" s="9"/>
      <c r="D21" s="9"/>
      <c r="E21" s="10"/>
      <c r="F21" s="10"/>
      <c r="G21" s="10"/>
      <c r="H21" s="10"/>
      <c r="I21" s="6" t="s">
        <v>16</v>
      </c>
      <c r="J21" s="146"/>
      <c r="K21" s="146"/>
      <c r="L21" s="6">
        <f t="shared" si="0"/>
        <v>0</v>
      </c>
    </row>
    <row r="22" spans="1:12">
      <c r="A22" s="7" t="s">
        <v>262</v>
      </c>
      <c r="B22" s="9"/>
      <c r="C22" s="9"/>
      <c r="D22" s="9"/>
      <c r="E22" s="10"/>
      <c r="F22" s="10"/>
      <c r="G22" s="10"/>
      <c r="H22" s="10"/>
      <c r="I22" s="6" t="s">
        <v>17</v>
      </c>
      <c r="J22" s="146"/>
      <c r="K22" s="146"/>
      <c r="L22" s="6">
        <f t="shared" si="0"/>
        <v>0</v>
      </c>
    </row>
    <row r="23" spans="1:12">
      <c r="A23" s="7" t="s">
        <v>18</v>
      </c>
      <c r="B23" s="9"/>
      <c r="C23" s="9"/>
      <c r="D23" s="9"/>
      <c r="E23" s="10"/>
      <c r="F23" s="10"/>
      <c r="G23" s="10"/>
      <c r="H23" s="10"/>
      <c r="I23" s="6" t="s">
        <v>19</v>
      </c>
      <c r="J23" s="146"/>
      <c r="K23" s="146"/>
      <c r="L23" s="6">
        <f t="shared" si="0"/>
        <v>0</v>
      </c>
    </row>
    <row r="24" spans="1:12">
      <c r="A24" s="7" t="s">
        <v>263</v>
      </c>
      <c r="B24" s="9"/>
      <c r="C24" s="9"/>
      <c r="D24" s="9"/>
      <c r="E24" s="10"/>
      <c r="F24" s="10"/>
      <c r="G24" s="10"/>
      <c r="H24" s="10"/>
      <c r="I24" s="6" t="s">
        <v>20</v>
      </c>
      <c r="J24" s="146"/>
      <c r="K24" s="146"/>
      <c r="L24" s="6">
        <f t="shared" si="0"/>
        <v>0</v>
      </c>
    </row>
    <row r="25" spans="1:12">
      <c r="A25" s="7" t="s">
        <v>332</v>
      </c>
      <c r="B25" s="9"/>
      <c r="C25" s="9"/>
      <c r="D25" s="9"/>
      <c r="E25" s="10"/>
      <c r="F25" s="10"/>
      <c r="G25" s="10"/>
      <c r="H25" s="10"/>
      <c r="I25" s="6" t="s">
        <v>21</v>
      </c>
      <c r="J25" s="146"/>
      <c r="K25" s="146"/>
      <c r="L25" s="6">
        <f t="shared" si="0"/>
        <v>0</v>
      </c>
    </row>
    <row r="26" spans="1:12">
      <c r="A26" s="8" t="s">
        <v>129</v>
      </c>
      <c r="B26" s="5"/>
      <c r="C26" s="5"/>
      <c r="D26" s="5"/>
      <c r="E26" s="5"/>
      <c r="F26" s="5"/>
      <c r="G26" s="5"/>
      <c r="H26" s="5"/>
      <c r="I26" s="6" t="s">
        <v>335</v>
      </c>
      <c r="J26" s="146"/>
      <c r="K26" s="146"/>
      <c r="L26" s="6">
        <f>SUM($I26,$J26,$K26)</f>
        <v>0</v>
      </c>
    </row>
    <row r="27" spans="1:12">
      <c r="A27" s="8" t="s">
        <v>264</v>
      </c>
      <c r="B27" s="5"/>
      <c r="C27" s="5"/>
      <c r="D27" s="5"/>
      <c r="E27" s="5"/>
      <c r="F27" s="5"/>
      <c r="G27" s="5"/>
      <c r="H27" s="5"/>
      <c r="I27" s="6"/>
      <c r="J27" s="146"/>
      <c r="K27" s="146" t="s">
        <v>265</v>
      </c>
      <c r="L27" s="6">
        <f t="shared" si="0"/>
        <v>0</v>
      </c>
    </row>
    <row r="28" spans="1:12" ht="32.1" customHeight="1">
      <c r="A28" s="220" t="s">
        <v>249</v>
      </c>
      <c r="B28" s="220"/>
      <c r="C28" s="220"/>
      <c r="D28" s="220"/>
      <c r="E28" s="220"/>
      <c r="F28" s="220"/>
      <c r="G28" s="220"/>
      <c r="H28" s="220"/>
      <c r="I28" s="133" t="s">
        <v>22</v>
      </c>
      <c r="J28" s="133" t="s">
        <v>336</v>
      </c>
      <c r="K28" s="133"/>
      <c r="L28" s="133">
        <f t="shared" si="0"/>
        <v>0</v>
      </c>
    </row>
    <row r="29" spans="1:12">
      <c r="A29" s="7" t="s">
        <v>120</v>
      </c>
      <c r="B29" s="7"/>
      <c r="C29" s="7"/>
      <c r="D29" s="7"/>
      <c r="E29" s="7"/>
      <c r="F29" s="7"/>
      <c r="G29" s="7"/>
      <c r="H29" s="7"/>
      <c r="I29" s="6" t="s">
        <v>25</v>
      </c>
      <c r="J29" s="149"/>
      <c r="K29" s="149"/>
      <c r="L29" s="6">
        <f t="shared" si="0"/>
        <v>0</v>
      </c>
    </row>
    <row r="30" spans="1:12">
      <c r="A30" s="7" t="s">
        <v>266</v>
      </c>
      <c r="B30" s="7"/>
      <c r="C30" s="7"/>
      <c r="D30" s="7"/>
      <c r="E30" s="7"/>
      <c r="F30" s="7"/>
      <c r="G30" s="7"/>
      <c r="H30" s="7"/>
      <c r="I30" s="6" t="s">
        <v>268</v>
      </c>
      <c r="J30" s="149"/>
      <c r="K30" s="149"/>
      <c r="L30" s="6">
        <f t="shared" si="0"/>
        <v>0</v>
      </c>
    </row>
    <row r="31" spans="1:12">
      <c r="A31" s="7" t="s">
        <v>267</v>
      </c>
      <c r="B31" s="7"/>
      <c r="C31" s="7"/>
      <c r="D31" s="7"/>
      <c r="E31" s="7"/>
      <c r="F31" s="7"/>
      <c r="G31" s="7"/>
      <c r="H31" s="7"/>
      <c r="I31" s="6" t="s">
        <v>269</v>
      </c>
      <c r="J31" s="149"/>
      <c r="K31" s="149"/>
      <c r="L31" s="6">
        <f t="shared" si="0"/>
        <v>0</v>
      </c>
    </row>
    <row r="32" spans="1:12" ht="21" customHeight="1">
      <c r="A32" s="224" t="s">
        <v>270</v>
      </c>
      <c r="B32" s="225"/>
      <c r="C32" s="225"/>
      <c r="D32" s="225"/>
      <c r="E32" s="225"/>
      <c r="F32" s="225"/>
      <c r="G32" s="225"/>
      <c r="H32" s="225"/>
      <c r="I32" s="133" t="s">
        <v>337</v>
      </c>
      <c r="J32" s="133" t="s">
        <v>338</v>
      </c>
      <c r="K32" s="133" t="s">
        <v>339</v>
      </c>
      <c r="L32" s="133">
        <f t="shared" si="0"/>
        <v>0</v>
      </c>
    </row>
    <row r="33" spans="1:12" ht="16.5" customHeight="1">
      <c r="A33" s="134"/>
      <c r="B33" s="222" t="s">
        <v>271</v>
      </c>
      <c r="C33" s="222"/>
      <c r="D33" s="222"/>
      <c r="E33" s="222"/>
      <c r="F33" s="222"/>
      <c r="G33" s="222"/>
      <c r="H33" s="222"/>
      <c r="I33" s="6" t="s">
        <v>173</v>
      </c>
      <c r="J33" s="146" t="s">
        <v>340</v>
      </c>
      <c r="K33" s="146" t="s">
        <v>342</v>
      </c>
      <c r="L33" s="6">
        <f t="shared" si="0"/>
        <v>0</v>
      </c>
    </row>
    <row r="34" spans="1:12" ht="20.25" customHeight="1">
      <c r="A34" s="134"/>
      <c r="B34" s="222" t="s">
        <v>274</v>
      </c>
      <c r="C34" s="222"/>
      <c r="D34" s="222"/>
      <c r="E34" s="222"/>
      <c r="F34" s="222"/>
      <c r="G34" s="222"/>
      <c r="H34" s="222"/>
      <c r="I34" s="6" t="s">
        <v>174</v>
      </c>
      <c r="J34" s="146" t="s">
        <v>341</v>
      </c>
      <c r="K34" s="146" t="s">
        <v>343</v>
      </c>
      <c r="L34" s="6">
        <f t="shared" si="0"/>
        <v>0</v>
      </c>
    </row>
    <row r="35" spans="1:12" ht="20.25" customHeight="1">
      <c r="A35" s="134"/>
      <c r="B35" s="222" t="s">
        <v>272</v>
      </c>
      <c r="C35" s="222"/>
      <c r="D35" s="222"/>
      <c r="E35" s="222"/>
      <c r="F35" s="222"/>
      <c r="G35" s="222"/>
      <c r="H35" s="222"/>
      <c r="I35" s="6"/>
      <c r="J35" s="146"/>
      <c r="K35" s="146" t="s">
        <v>344</v>
      </c>
      <c r="L35" s="6">
        <f t="shared" si="0"/>
        <v>0</v>
      </c>
    </row>
    <row r="36" spans="1:12" ht="20.25" customHeight="1">
      <c r="A36" s="134"/>
      <c r="B36" s="222" t="s">
        <v>278</v>
      </c>
      <c r="C36" s="222"/>
      <c r="D36" s="222"/>
      <c r="E36" s="222"/>
      <c r="F36" s="222"/>
      <c r="G36" s="222"/>
      <c r="H36" s="222"/>
      <c r="I36" s="6"/>
      <c r="J36" s="146"/>
      <c r="K36" s="146" t="s">
        <v>345</v>
      </c>
      <c r="L36" s="6">
        <f t="shared" si="0"/>
        <v>0</v>
      </c>
    </row>
    <row r="37" spans="1:12" ht="20.25" customHeight="1">
      <c r="A37" s="134"/>
      <c r="B37" s="222" t="s">
        <v>277</v>
      </c>
      <c r="C37" s="222"/>
      <c r="D37" s="222"/>
      <c r="E37" s="222"/>
      <c r="F37" s="222"/>
      <c r="G37" s="222"/>
      <c r="H37" s="222"/>
      <c r="I37" s="6"/>
      <c r="J37" s="146"/>
      <c r="K37" s="146" t="s">
        <v>346</v>
      </c>
      <c r="L37" s="6">
        <f t="shared" si="0"/>
        <v>0</v>
      </c>
    </row>
    <row r="38" spans="1:12" ht="25.2" customHeight="1">
      <c r="A38" s="222" t="s">
        <v>273</v>
      </c>
      <c r="B38" s="222"/>
      <c r="C38" s="222"/>
      <c r="D38" s="222"/>
      <c r="E38" s="222"/>
      <c r="F38" s="222"/>
      <c r="G38" s="222"/>
      <c r="H38" s="226"/>
      <c r="I38" s="12" t="s">
        <v>347</v>
      </c>
      <c r="J38" s="12" t="s">
        <v>348</v>
      </c>
      <c r="K38" s="12" t="s">
        <v>349</v>
      </c>
      <c r="L38" s="132">
        <f>SUM($I38,$J38,$K38)</f>
        <v>0</v>
      </c>
    </row>
    <row r="39" spans="1:12" ht="22.5" customHeight="1">
      <c r="A39" s="7"/>
      <c r="B39" s="222" t="s">
        <v>276</v>
      </c>
      <c r="C39" s="222"/>
      <c r="D39" s="222"/>
      <c r="E39" s="222"/>
      <c r="F39" s="222"/>
      <c r="G39" s="222"/>
      <c r="H39" s="222"/>
      <c r="I39" s="12" t="s">
        <v>350</v>
      </c>
      <c r="J39" s="147" t="s">
        <v>352</v>
      </c>
      <c r="K39" s="147" t="s">
        <v>354</v>
      </c>
      <c r="L39" s="6">
        <f t="shared" si="0"/>
        <v>0</v>
      </c>
    </row>
    <row r="40" spans="1:12" ht="22.5" customHeight="1">
      <c r="A40" s="7"/>
      <c r="B40" s="222" t="s">
        <v>275</v>
      </c>
      <c r="C40" s="222"/>
      <c r="D40" s="222"/>
      <c r="E40" s="222"/>
      <c r="F40" s="222"/>
      <c r="G40" s="222"/>
      <c r="H40" s="222"/>
      <c r="I40" s="12" t="s">
        <v>351</v>
      </c>
      <c r="J40" s="147" t="s">
        <v>353</v>
      </c>
      <c r="K40" s="147" t="s">
        <v>355</v>
      </c>
      <c r="L40" s="6">
        <f t="shared" si="0"/>
        <v>0</v>
      </c>
    </row>
    <row r="41" spans="1:12" ht="22.5" customHeight="1">
      <c r="A41" s="7"/>
      <c r="B41" s="222" t="s">
        <v>279</v>
      </c>
      <c r="C41" s="222"/>
      <c r="D41" s="222"/>
      <c r="E41" s="222"/>
      <c r="F41" s="222"/>
      <c r="G41" s="222"/>
      <c r="H41" s="222"/>
      <c r="I41" s="12"/>
      <c r="J41" s="147"/>
      <c r="K41" s="147" t="s">
        <v>356</v>
      </c>
      <c r="L41" s="6">
        <f t="shared" si="0"/>
        <v>0</v>
      </c>
    </row>
    <row r="42" spans="1:12" ht="22.5" customHeight="1">
      <c r="A42" s="7"/>
      <c r="B42" s="222" t="s">
        <v>280</v>
      </c>
      <c r="C42" s="222"/>
      <c r="D42" s="222"/>
      <c r="E42" s="222"/>
      <c r="F42" s="222"/>
      <c r="G42" s="222"/>
      <c r="H42" s="222"/>
      <c r="I42" s="12"/>
      <c r="J42" s="147"/>
      <c r="K42" s="147" t="s">
        <v>357</v>
      </c>
      <c r="L42" s="6">
        <f t="shared" si="0"/>
        <v>0</v>
      </c>
    </row>
    <row r="43" spans="1:12" ht="22.5" customHeight="1">
      <c r="A43" s="7"/>
      <c r="B43" s="222" t="s">
        <v>281</v>
      </c>
      <c r="C43" s="222"/>
      <c r="D43" s="222"/>
      <c r="E43" s="222"/>
      <c r="F43" s="222"/>
      <c r="G43" s="222"/>
      <c r="H43" s="222"/>
      <c r="I43" s="12"/>
      <c r="J43" s="147"/>
      <c r="K43" s="147" t="s">
        <v>358</v>
      </c>
      <c r="L43" s="6">
        <f t="shared" si="0"/>
        <v>0</v>
      </c>
    </row>
    <row r="44" spans="1:12" ht="22.2" customHeight="1">
      <c r="A44" s="222" t="s">
        <v>282</v>
      </c>
      <c r="B44" s="222"/>
      <c r="C44" s="222"/>
      <c r="D44" s="222"/>
      <c r="E44" s="222"/>
      <c r="F44" s="222"/>
      <c r="G44" s="222"/>
      <c r="H44" s="222"/>
      <c r="I44" s="12" t="s">
        <v>359</v>
      </c>
      <c r="J44" s="12" t="s">
        <v>360</v>
      </c>
      <c r="K44" s="12" t="s">
        <v>361</v>
      </c>
      <c r="L44" s="132">
        <f t="shared" si="0"/>
        <v>0</v>
      </c>
    </row>
    <row r="45" spans="1:12" ht="23.1" customHeight="1">
      <c r="A45" s="7"/>
      <c r="B45" s="222" t="s">
        <v>276</v>
      </c>
      <c r="C45" s="222"/>
      <c r="D45" s="222"/>
      <c r="E45" s="222"/>
      <c r="F45" s="222"/>
      <c r="G45" s="222"/>
      <c r="H45" s="222"/>
      <c r="I45" s="12" t="s">
        <v>362</v>
      </c>
      <c r="J45" s="147" t="s">
        <v>364</v>
      </c>
      <c r="K45" s="147" t="s">
        <v>366</v>
      </c>
      <c r="L45" s="12">
        <f t="shared" si="0"/>
        <v>0</v>
      </c>
    </row>
    <row r="46" spans="1:12" ht="20.100000000000001" customHeight="1">
      <c r="A46" s="7"/>
      <c r="B46" s="222" t="s">
        <v>275</v>
      </c>
      <c r="C46" s="222"/>
      <c r="D46" s="222"/>
      <c r="E46" s="222"/>
      <c r="F46" s="222"/>
      <c r="G46" s="222"/>
      <c r="H46" s="222"/>
      <c r="I46" s="12" t="s">
        <v>363</v>
      </c>
      <c r="J46" s="147" t="s">
        <v>365</v>
      </c>
      <c r="K46" s="147" t="s">
        <v>367</v>
      </c>
      <c r="L46" s="12">
        <f t="shared" si="0"/>
        <v>0</v>
      </c>
    </row>
    <row r="47" spans="1:12" ht="20.100000000000001" customHeight="1">
      <c r="A47" s="7"/>
      <c r="B47" s="222" t="s">
        <v>279</v>
      </c>
      <c r="C47" s="222"/>
      <c r="D47" s="222"/>
      <c r="E47" s="222"/>
      <c r="F47" s="222"/>
      <c r="G47" s="222"/>
      <c r="H47" s="222"/>
      <c r="I47" s="12"/>
      <c r="J47" s="147"/>
      <c r="K47" s="147" t="s">
        <v>368</v>
      </c>
      <c r="L47" s="12">
        <f t="shared" si="0"/>
        <v>0</v>
      </c>
    </row>
    <row r="48" spans="1:12" ht="20.100000000000001" customHeight="1">
      <c r="A48" s="7"/>
      <c r="B48" s="222" t="s">
        <v>280</v>
      </c>
      <c r="C48" s="222"/>
      <c r="D48" s="222"/>
      <c r="E48" s="222"/>
      <c r="F48" s="222"/>
      <c r="G48" s="222"/>
      <c r="H48" s="222"/>
      <c r="I48" s="12"/>
      <c r="J48" s="147"/>
      <c r="K48" s="147" t="s">
        <v>369</v>
      </c>
      <c r="L48" s="12">
        <f t="shared" si="0"/>
        <v>0</v>
      </c>
    </row>
    <row r="49" spans="1:12" ht="20.100000000000001" customHeight="1">
      <c r="A49" s="7"/>
      <c r="B49" s="222" t="s">
        <v>281</v>
      </c>
      <c r="C49" s="222"/>
      <c r="D49" s="222"/>
      <c r="E49" s="222"/>
      <c r="F49" s="222"/>
      <c r="G49" s="222"/>
      <c r="H49" s="222"/>
      <c r="I49" s="12"/>
      <c r="J49" s="147"/>
      <c r="K49" s="147" t="s">
        <v>370</v>
      </c>
      <c r="L49" s="12">
        <f t="shared" si="0"/>
        <v>0</v>
      </c>
    </row>
    <row r="50" spans="1:12" ht="16.5" customHeight="1">
      <c r="A50" s="144" t="s">
        <v>250</v>
      </c>
      <c r="B50" s="135"/>
      <c r="C50" s="131"/>
      <c r="D50" s="131"/>
      <c r="E50" s="131"/>
      <c r="F50" s="131"/>
      <c r="G50" s="131"/>
      <c r="H50" s="131"/>
      <c r="I50" s="145"/>
      <c r="J50" s="148"/>
      <c r="K50" s="148"/>
      <c r="L50" s="132"/>
    </row>
    <row r="51" spans="1:12" ht="19.2" customHeight="1">
      <c r="A51" s="227" t="s">
        <v>283</v>
      </c>
      <c r="B51" s="227"/>
      <c r="C51" s="227"/>
      <c r="D51" s="227"/>
      <c r="E51" s="227"/>
      <c r="F51" s="227"/>
      <c r="G51" s="227"/>
      <c r="H51" s="13"/>
      <c r="I51" s="12" t="s">
        <v>371</v>
      </c>
      <c r="J51" s="12" t="s">
        <v>372</v>
      </c>
      <c r="K51" s="12" t="s">
        <v>373</v>
      </c>
      <c r="L51" s="132">
        <f>SUM(L$52,L$53,L$54,L$55,L$56)</f>
        <v>0</v>
      </c>
    </row>
    <row r="52" spans="1:12" ht="18.899999999999999" customHeight="1">
      <c r="A52" s="7"/>
      <c r="B52" s="222" t="s">
        <v>276</v>
      </c>
      <c r="C52" s="222"/>
      <c r="D52" s="222"/>
      <c r="E52" s="222"/>
      <c r="F52" s="222"/>
      <c r="G52" s="222"/>
      <c r="H52" s="222"/>
      <c r="I52" s="12" t="s">
        <v>284</v>
      </c>
      <c r="J52" s="12" t="s">
        <v>374</v>
      </c>
      <c r="K52" s="12" t="s">
        <v>376</v>
      </c>
      <c r="L52" s="12">
        <f t="shared" ref="L52:L56" si="1">SUM($I52,$J52,$K52)</f>
        <v>0</v>
      </c>
    </row>
    <row r="53" spans="1:12" ht="18.899999999999999" customHeight="1">
      <c r="A53" s="7"/>
      <c r="B53" s="222" t="s">
        <v>275</v>
      </c>
      <c r="C53" s="222"/>
      <c r="D53" s="222"/>
      <c r="E53" s="222"/>
      <c r="F53" s="222"/>
      <c r="G53" s="222"/>
      <c r="H53" s="222"/>
      <c r="I53" s="12" t="s">
        <v>285</v>
      </c>
      <c r="J53" s="12" t="s">
        <v>375</v>
      </c>
      <c r="K53" s="12" t="s">
        <v>377</v>
      </c>
      <c r="L53" s="12">
        <f t="shared" si="1"/>
        <v>0</v>
      </c>
    </row>
    <row r="54" spans="1:12" ht="18.899999999999999" customHeight="1">
      <c r="A54" s="7"/>
      <c r="B54" s="222" t="s">
        <v>279</v>
      </c>
      <c r="C54" s="222"/>
      <c r="D54" s="222"/>
      <c r="E54" s="222"/>
      <c r="F54" s="222"/>
      <c r="G54" s="222"/>
      <c r="H54" s="222"/>
      <c r="I54" s="12"/>
      <c r="J54" s="12"/>
      <c r="K54" s="12" t="s">
        <v>378</v>
      </c>
      <c r="L54" s="12">
        <f t="shared" si="1"/>
        <v>0</v>
      </c>
    </row>
    <row r="55" spans="1:12" ht="18.899999999999999" customHeight="1">
      <c r="A55" s="7"/>
      <c r="B55" s="222" t="s">
        <v>280</v>
      </c>
      <c r="C55" s="222"/>
      <c r="D55" s="222"/>
      <c r="E55" s="222"/>
      <c r="F55" s="222"/>
      <c r="G55" s="222"/>
      <c r="H55" s="222"/>
      <c r="I55" s="12"/>
      <c r="J55" s="12"/>
      <c r="K55" s="12" t="s">
        <v>379</v>
      </c>
      <c r="L55" s="12">
        <f t="shared" si="1"/>
        <v>0</v>
      </c>
    </row>
    <row r="56" spans="1:12" ht="21" customHeight="1">
      <c r="A56" s="7"/>
      <c r="B56" s="222" t="s">
        <v>281</v>
      </c>
      <c r="C56" s="222"/>
      <c r="D56" s="222"/>
      <c r="E56" s="222"/>
      <c r="F56" s="222"/>
      <c r="G56" s="222"/>
      <c r="H56" s="222"/>
      <c r="I56" s="12"/>
      <c r="J56" s="148"/>
      <c r="K56" s="148" t="s">
        <v>380</v>
      </c>
      <c r="L56" s="12">
        <f t="shared" si="1"/>
        <v>0</v>
      </c>
    </row>
    <row r="57" spans="1:12" ht="21" customHeight="1" thickBot="1">
      <c r="A57" s="158"/>
      <c r="B57" s="159"/>
      <c r="C57" s="159"/>
      <c r="D57" s="159"/>
      <c r="E57" s="159"/>
      <c r="F57" s="159"/>
      <c r="G57" s="159"/>
      <c r="H57" s="159"/>
      <c r="I57" s="160"/>
      <c r="J57" s="148"/>
      <c r="K57" s="148"/>
      <c r="L57" s="12"/>
    </row>
    <row r="58" spans="1:12" ht="21" customHeight="1">
      <c r="A58" s="157" t="s">
        <v>311</v>
      </c>
      <c r="B58" s="156"/>
      <c r="C58" s="156"/>
      <c r="D58" s="156"/>
      <c r="E58" s="156"/>
      <c r="F58" s="156"/>
      <c r="G58" s="156"/>
      <c r="H58" s="156"/>
      <c r="I58" s="156"/>
      <c r="J58" s="156"/>
      <c r="K58" s="155"/>
      <c r="L58" s="155"/>
    </row>
    <row r="59" spans="1:12" ht="21" customHeight="1">
      <c r="A59" s="157" t="s">
        <v>312</v>
      </c>
      <c r="B59" s="156"/>
      <c r="C59" s="156"/>
      <c r="D59" s="156"/>
      <c r="E59" s="156"/>
      <c r="F59" s="156"/>
      <c r="G59" s="156"/>
      <c r="H59" s="156"/>
      <c r="I59" s="156"/>
      <c r="J59" s="156"/>
      <c r="K59" s="155"/>
      <c r="L59" s="155"/>
    </row>
    <row r="60" spans="1:12" ht="21" customHeight="1">
      <c r="A60" s="157" t="s">
        <v>313</v>
      </c>
      <c r="B60" s="156"/>
      <c r="C60" s="156"/>
      <c r="D60" s="156"/>
      <c r="E60" s="156"/>
      <c r="F60" s="156"/>
      <c r="G60" s="156"/>
      <c r="H60" s="156"/>
      <c r="I60" s="156"/>
      <c r="J60" s="156"/>
      <c r="K60" s="155"/>
      <c r="L60" s="155"/>
    </row>
    <row r="61" spans="1:12" ht="21" customHeight="1">
      <c r="A61" s="157" t="s">
        <v>314</v>
      </c>
      <c r="B61" s="156"/>
      <c r="C61" s="156"/>
      <c r="D61" s="156"/>
      <c r="E61" s="156"/>
      <c r="F61" s="156"/>
      <c r="G61" s="156"/>
      <c r="H61" s="156"/>
      <c r="I61" s="156"/>
      <c r="J61" s="156"/>
      <c r="K61" s="155"/>
      <c r="L61" s="155"/>
    </row>
    <row r="63" spans="1:12">
      <c r="A63" t="s">
        <v>26</v>
      </c>
    </row>
  </sheetData>
  <sheetProtection selectLockedCells="1" selectUnlockedCells="1"/>
  <mergeCells count="29">
    <mergeCell ref="B47:H47"/>
    <mergeCell ref="B48:H48"/>
    <mergeCell ref="B49:H49"/>
    <mergeCell ref="B56:H56"/>
    <mergeCell ref="B53:H53"/>
    <mergeCell ref="B54:H54"/>
    <mergeCell ref="A51:G51"/>
    <mergeCell ref="B52:H52"/>
    <mergeCell ref="B55:H55"/>
    <mergeCell ref="B46:H46"/>
    <mergeCell ref="A32:H32"/>
    <mergeCell ref="B33:H33"/>
    <mergeCell ref="B34:H34"/>
    <mergeCell ref="B35:H35"/>
    <mergeCell ref="A38:H38"/>
    <mergeCell ref="B36:H36"/>
    <mergeCell ref="B37:H37"/>
    <mergeCell ref="B41:H41"/>
    <mergeCell ref="B42:H42"/>
    <mergeCell ref="B43:H43"/>
    <mergeCell ref="A28:H28"/>
    <mergeCell ref="A2:C2"/>
    <mergeCell ref="B39:H39"/>
    <mergeCell ref="B40:H40"/>
    <mergeCell ref="B45:H45"/>
    <mergeCell ref="A44:H44"/>
    <mergeCell ref="A9:I9"/>
    <mergeCell ref="A10:I10"/>
    <mergeCell ref="A11:I11"/>
  </mergeCells>
  <pageMargins left="0.7" right="0.7" top="0.75" bottom="0.75" header="0.51180555555555551" footer="0.51180555555555551"/>
  <pageSetup paperSize="9" firstPageNumber="0" fitToHeight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"/>
  <sheetViews>
    <sheetView workbookViewId="0">
      <selection activeCell="A3" sqref="A3"/>
    </sheetView>
  </sheetViews>
  <sheetFormatPr defaultColWidth="9.109375" defaultRowHeight="13.2"/>
  <cols>
    <col min="1" max="4" width="11.44140625" style="14" customWidth="1"/>
    <col min="5" max="6" width="8.109375" style="14" customWidth="1"/>
    <col min="7" max="7" width="8.109375" style="15" customWidth="1"/>
    <col min="8" max="8" width="8.44140625" style="14" customWidth="1"/>
    <col min="9" max="9" width="9.44140625" style="14" customWidth="1"/>
    <col min="10" max="10" width="9.6640625" style="15" customWidth="1"/>
    <col min="11" max="12" width="10.109375" style="14" customWidth="1"/>
    <col min="13" max="13" width="10" style="15" customWidth="1"/>
    <col min="14" max="16" width="9.44140625" style="16" customWidth="1"/>
    <col min="17" max="17" width="8.109375" style="17" customWidth="1"/>
    <col min="18" max="18" width="8.109375" style="14" customWidth="1"/>
    <col min="19" max="19" width="10.109375" style="14" customWidth="1"/>
    <col min="20" max="20" width="8.88671875" style="16" customWidth="1"/>
    <col min="21" max="21" width="10.6640625" style="14" customWidth="1"/>
    <col min="22" max="22" width="8.33203125" style="16" customWidth="1"/>
    <col min="23" max="24" width="8.5546875" style="16" customWidth="1"/>
    <col min="25" max="25" width="10" style="16" customWidth="1"/>
    <col min="26" max="27" width="9.44140625" style="16" customWidth="1"/>
    <col min="28" max="28" width="12.6640625" style="14" customWidth="1"/>
    <col min="29" max="29" width="9.44140625" style="14" customWidth="1"/>
    <col min="30" max="30" width="10" style="14" customWidth="1"/>
    <col min="31" max="31" width="9.44140625" style="14" customWidth="1"/>
    <col min="32" max="33" width="9.5546875" style="14" customWidth="1"/>
    <col min="34" max="36" width="10.88671875" style="14" customWidth="1"/>
    <col min="37" max="38" width="9.109375" style="14" customWidth="1"/>
    <col min="39" max="39" width="12.44140625" style="14" customWidth="1"/>
    <col min="40" max="40" width="11.5546875" style="14" customWidth="1"/>
    <col min="41" max="41" width="11.88671875" style="14" customWidth="1"/>
    <col min="42" max="45" width="9.5546875" style="14" customWidth="1"/>
    <col min="46" max="46" width="10" style="14" customWidth="1"/>
    <col min="47" max="47" width="9" style="14" customWidth="1"/>
    <col min="48" max="51" width="10.109375" style="14" customWidth="1"/>
    <col min="52" max="54" width="10.44140625" style="14" customWidth="1"/>
    <col min="55" max="55" width="10" style="14" customWidth="1"/>
    <col min="56" max="56" width="9" style="14" customWidth="1"/>
    <col min="57" max="59" width="9.109375" style="14" customWidth="1"/>
    <col min="60" max="60" width="10" style="14" customWidth="1"/>
    <col min="61" max="61" width="9" style="14" customWidth="1"/>
    <col min="62" max="16384" width="9.109375" style="14"/>
  </cols>
  <sheetData>
    <row r="1" spans="1:29" s="9" customFormat="1" ht="14.4">
      <c r="A1" s="1" t="s">
        <v>27</v>
      </c>
      <c r="B1" s="1"/>
      <c r="C1" s="2"/>
      <c r="D1" s="2"/>
      <c r="E1" s="2"/>
      <c r="F1" s="3"/>
      <c r="G1" s="230" t="s">
        <v>1</v>
      </c>
      <c r="H1" s="230"/>
      <c r="I1" s="18" t="s">
        <v>2</v>
      </c>
      <c r="J1" s="4" t="s">
        <v>3</v>
      </c>
      <c r="K1" s="4"/>
      <c r="M1" s="19"/>
      <c r="N1" s="20"/>
      <c r="O1" s="20"/>
      <c r="P1" s="20"/>
      <c r="U1" s="21"/>
      <c r="V1" s="21"/>
      <c r="Y1" s="21"/>
      <c r="Z1" s="21"/>
    </row>
    <row r="2" spans="1:29" s="9" customFormat="1" ht="14.4">
      <c r="A2" s="2" t="s">
        <v>4</v>
      </c>
      <c r="B2" s="2"/>
      <c r="C2" s="2"/>
      <c r="D2" s="234" t="s">
        <v>5</v>
      </c>
      <c r="E2" s="234"/>
      <c r="F2" s="234"/>
      <c r="G2" s="234"/>
      <c r="H2" s="234"/>
      <c r="I2" s="234"/>
      <c r="J2" s="2"/>
      <c r="K2" s="22"/>
      <c r="M2" s="23"/>
      <c r="N2" s="21"/>
      <c r="O2" s="21"/>
      <c r="P2" s="21"/>
      <c r="U2" s="21"/>
      <c r="V2" s="21"/>
      <c r="Y2" s="21"/>
      <c r="Z2" s="21"/>
    </row>
    <row r="3" spans="1:29">
      <c r="C3" s="15"/>
      <c r="D3" s="15"/>
      <c r="K3" s="16"/>
      <c r="L3" s="16"/>
      <c r="M3" s="17"/>
      <c r="N3" s="14"/>
      <c r="O3" s="14"/>
      <c r="P3" s="14"/>
      <c r="Q3" s="16"/>
      <c r="S3" s="16"/>
      <c r="U3" s="16"/>
      <c r="Y3" s="14"/>
      <c r="Z3" s="14"/>
      <c r="AA3" s="14"/>
    </row>
    <row r="4" spans="1:29" s="2" customFormat="1" ht="16.5" customHeight="1">
      <c r="A4" s="228" t="s">
        <v>28</v>
      </c>
      <c r="B4" s="228" t="s">
        <v>29</v>
      </c>
      <c r="C4" s="228" t="s">
        <v>30</v>
      </c>
      <c r="D4" s="231" t="s">
        <v>31</v>
      </c>
      <c r="E4" s="232"/>
      <c r="F4" s="232"/>
      <c r="G4" s="232"/>
      <c r="H4" s="232"/>
      <c r="I4" s="232"/>
      <c r="J4" s="232"/>
      <c r="K4" s="232"/>
      <c r="L4" s="232"/>
      <c r="M4" s="233"/>
      <c r="N4" s="229" t="s">
        <v>32</v>
      </c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8" t="s">
        <v>33</v>
      </c>
      <c r="AA4" s="228" t="s">
        <v>34</v>
      </c>
      <c r="AB4" s="228" t="s">
        <v>35</v>
      </c>
    </row>
    <row r="5" spans="1:29" s="2" customFormat="1" ht="122.25" customHeight="1">
      <c r="A5" s="228"/>
      <c r="B5" s="228"/>
      <c r="C5" s="228"/>
      <c r="D5" s="161" t="s">
        <v>286</v>
      </c>
      <c r="E5" s="24" t="s">
        <v>251</v>
      </c>
      <c r="F5" s="24" t="s">
        <v>37</v>
      </c>
      <c r="G5" s="24" t="s">
        <v>38</v>
      </c>
      <c r="H5" s="25" t="s">
        <v>39</v>
      </c>
      <c r="I5" s="25" t="s">
        <v>40</v>
      </c>
      <c r="J5" s="25" t="s">
        <v>41</v>
      </c>
      <c r="K5" s="25" t="s">
        <v>42</v>
      </c>
      <c r="L5" s="25" t="s">
        <v>43</v>
      </c>
      <c r="M5" s="25" t="s">
        <v>44</v>
      </c>
      <c r="N5" s="165" t="s">
        <v>286</v>
      </c>
      <c r="O5" s="24" t="s">
        <v>36</v>
      </c>
      <c r="P5" s="24" t="s">
        <v>37</v>
      </c>
      <c r="Q5" s="24" t="s">
        <v>38</v>
      </c>
      <c r="R5" s="25" t="s">
        <v>39</v>
      </c>
      <c r="S5" s="25" t="s">
        <v>252</v>
      </c>
      <c r="T5" s="24" t="s">
        <v>45</v>
      </c>
      <c r="U5" s="24" t="s">
        <v>46</v>
      </c>
      <c r="V5" s="25" t="s">
        <v>47</v>
      </c>
      <c r="W5" s="25" t="s">
        <v>42</v>
      </c>
      <c r="X5" s="25" t="s">
        <v>43</v>
      </c>
      <c r="Y5" s="25" t="s">
        <v>44</v>
      </c>
      <c r="Z5" s="228"/>
      <c r="AA5" s="228"/>
      <c r="AB5" s="228"/>
    </row>
    <row r="6" spans="1:29" s="2" customFormat="1" ht="13.8">
      <c r="A6" s="26">
        <v>1</v>
      </c>
      <c r="B6" s="26">
        <v>2</v>
      </c>
      <c r="C6" s="26">
        <v>3</v>
      </c>
      <c r="D6" s="163">
        <v>4</v>
      </c>
      <c r="E6" s="26">
        <v>5</v>
      </c>
      <c r="F6" s="26">
        <v>6</v>
      </c>
      <c r="G6" s="26">
        <v>7</v>
      </c>
      <c r="H6" s="26">
        <v>8</v>
      </c>
      <c r="I6" s="26">
        <v>9</v>
      </c>
      <c r="J6" s="26">
        <v>10</v>
      </c>
      <c r="K6" s="26">
        <v>11</v>
      </c>
      <c r="L6" s="26">
        <v>12</v>
      </c>
      <c r="M6" s="26">
        <v>13</v>
      </c>
      <c r="N6" s="26">
        <v>14</v>
      </c>
      <c r="O6" s="164">
        <v>15</v>
      </c>
      <c r="P6" s="26">
        <v>16</v>
      </c>
      <c r="Q6" s="26">
        <v>17</v>
      </c>
      <c r="R6" s="26">
        <v>18</v>
      </c>
      <c r="S6" s="26">
        <v>19</v>
      </c>
      <c r="T6" s="26">
        <v>20</v>
      </c>
      <c r="U6" s="26">
        <v>21</v>
      </c>
      <c r="V6" s="26">
        <v>22</v>
      </c>
      <c r="W6" s="26">
        <v>23</v>
      </c>
      <c r="X6" s="26">
        <v>24</v>
      </c>
      <c r="Y6" s="26">
        <v>25</v>
      </c>
      <c r="Z6" s="26">
        <v>26</v>
      </c>
      <c r="AA6" s="26">
        <v>27</v>
      </c>
      <c r="AB6" s="26">
        <v>28</v>
      </c>
    </row>
    <row r="7" spans="1:29" s="2" customFormat="1" ht="13.8">
      <c r="A7" s="27" t="s">
        <v>48</v>
      </c>
      <c r="B7" s="27" t="s">
        <v>49</v>
      </c>
      <c r="C7" s="28" t="s">
        <v>50</v>
      </c>
      <c r="D7" s="199" t="s">
        <v>287</v>
      </c>
      <c r="E7" s="27" t="s">
        <v>51</v>
      </c>
      <c r="F7" s="29" t="s">
        <v>52</v>
      </c>
      <c r="G7" s="29" t="s">
        <v>53</v>
      </c>
      <c r="H7" s="30" t="s">
        <v>54</v>
      </c>
      <c r="I7" s="31" t="s">
        <v>55</v>
      </c>
      <c r="J7" s="30" t="s">
        <v>56</v>
      </c>
      <c r="K7" s="32" t="s">
        <v>57</v>
      </c>
      <c r="L7" s="32" t="s">
        <v>58</v>
      </c>
      <c r="M7" s="30" t="s">
        <v>59</v>
      </c>
      <c r="N7" s="200" t="s">
        <v>288</v>
      </c>
      <c r="O7" s="27" t="s">
        <v>60</v>
      </c>
      <c r="P7" s="29" t="s">
        <v>61</v>
      </c>
      <c r="Q7" s="29" t="s">
        <v>62</v>
      </c>
      <c r="R7" s="30" t="s">
        <v>63</v>
      </c>
      <c r="S7" s="31" t="s">
        <v>64</v>
      </c>
      <c r="T7" s="30" t="s">
        <v>65</v>
      </c>
      <c r="U7" s="30" t="s">
        <v>66</v>
      </c>
      <c r="V7" s="30" t="s">
        <v>67</v>
      </c>
      <c r="W7" s="32" t="s">
        <v>68</v>
      </c>
      <c r="X7" s="32" t="s">
        <v>69</v>
      </c>
      <c r="Y7" s="30" t="s">
        <v>70</v>
      </c>
      <c r="Z7" s="30" t="s">
        <v>71</v>
      </c>
      <c r="AA7" s="33" t="s">
        <v>72</v>
      </c>
      <c r="AB7" s="27" t="s">
        <v>73</v>
      </c>
      <c r="AC7" s="34" t="s">
        <v>74</v>
      </c>
    </row>
    <row r="8" spans="1:29" ht="13.8">
      <c r="D8" s="162"/>
    </row>
  </sheetData>
  <sheetProtection selectLockedCells="1" selectUnlockedCells="1"/>
  <mergeCells count="10">
    <mergeCell ref="AA4:AA5"/>
    <mergeCell ref="AB4:AB5"/>
    <mergeCell ref="G1:H1"/>
    <mergeCell ref="D4:M4"/>
    <mergeCell ref="D2:I2"/>
    <mergeCell ref="A4:A5"/>
    <mergeCell ref="B4:B5"/>
    <mergeCell ref="C4:C5"/>
    <mergeCell ref="N4:Y4"/>
    <mergeCell ref="Z4:Z5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"/>
  <sheetViews>
    <sheetView workbookViewId="0">
      <selection activeCell="T5" sqref="T5"/>
    </sheetView>
  </sheetViews>
  <sheetFormatPr defaultColWidth="9.109375" defaultRowHeight="13.2"/>
  <cols>
    <col min="1" max="4" width="11.44140625" style="14" customWidth="1"/>
    <col min="5" max="5" width="8.109375" style="14" customWidth="1"/>
    <col min="6" max="6" width="11.6640625" style="14" customWidth="1"/>
    <col min="7" max="7" width="6.88671875" style="15" customWidth="1"/>
    <col min="8" max="8" width="8.109375" style="14" customWidth="1"/>
    <col min="9" max="9" width="8.33203125" style="14" customWidth="1"/>
    <col min="10" max="10" width="10.6640625" style="15" customWidth="1"/>
    <col min="11" max="12" width="10.109375" style="14" customWidth="1"/>
    <col min="13" max="13" width="8.33203125" style="15" customWidth="1"/>
    <col min="14" max="14" width="8.109375" style="16" customWidth="1"/>
    <col min="15" max="18" width="9.109375" style="17" customWidth="1"/>
    <col min="19" max="19" width="8.5546875" style="16" customWidth="1"/>
    <col min="20" max="21" width="11.33203125" style="16" customWidth="1"/>
    <col min="22" max="22" width="14.33203125" style="16" customWidth="1"/>
    <col min="23" max="23" width="11.88671875" style="14" customWidth="1"/>
    <col min="24" max="25" width="9.44140625" style="14" customWidth="1"/>
    <col min="26" max="26" width="10" style="14" customWidth="1"/>
    <col min="27" max="27" width="9.44140625" style="14" customWidth="1"/>
    <col min="28" max="28" width="12.33203125" style="14" customWidth="1"/>
    <col min="29" max="29" width="9.5546875" style="14" customWidth="1"/>
    <col min="30" max="34" width="10.88671875" style="14" customWidth="1"/>
    <col min="35" max="35" width="12.44140625" style="14" customWidth="1"/>
    <col min="36" max="36" width="11.5546875" style="14" customWidth="1"/>
    <col min="37" max="37" width="11.88671875" style="14" customWidth="1"/>
    <col min="38" max="40" width="9.5546875" style="14" customWidth="1"/>
    <col min="41" max="41" width="10" style="14" customWidth="1"/>
    <col min="42" max="42" width="9" style="14" customWidth="1"/>
    <col min="43" max="45" width="10.109375" style="14" customWidth="1"/>
    <col min="46" max="47" width="10.44140625" style="14" customWidth="1"/>
    <col min="48" max="48" width="9.109375" style="14" customWidth="1"/>
    <col min="49" max="49" width="10" style="14" customWidth="1"/>
    <col min="50" max="50" width="9" style="14" customWidth="1"/>
    <col min="51" max="53" width="9.109375" style="14" customWidth="1"/>
    <col min="54" max="54" width="10" style="14" customWidth="1"/>
    <col min="55" max="55" width="9" style="14" customWidth="1"/>
    <col min="56" max="16384" width="9.109375" style="14"/>
  </cols>
  <sheetData>
    <row r="1" spans="1:25" s="9" customFormat="1" ht="14.4">
      <c r="A1" s="1" t="s">
        <v>75</v>
      </c>
      <c r="B1" s="1"/>
      <c r="C1" s="1"/>
      <c r="D1" s="2"/>
      <c r="E1" s="2"/>
      <c r="F1" s="3"/>
      <c r="G1" s="230" t="s">
        <v>1</v>
      </c>
      <c r="H1" s="230"/>
      <c r="I1" s="18" t="s">
        <v>2</v>
      </c>
      <c r="J1" s="4" t="s">
        <v>3</v>
      </c>
      <c r="K1" s="19"/>
      <c r="M1" s="19"/>
      <c r="N1" s="20"/>
      <c r="O1" s="20"/>
      <c r="T1" s="21"/>
      <c r="U1" s="21"/>
      <c r="X1" s="21"/>
      <c r="Y1" s="21"/>
    </row>
    <row r="2" spans="1:25" s="9" customFormat="1" ht="14.4">
      <c r="A2" s="2" t="s">
        <v>4</v>
      </c>
      <c r="B2" s="2"/>
      <c r="C2" s="2"/>
      <c r="D2" s="2"/>
      <c r="E2" s="234" t="s">
        <v>5</v>
      </c>
      <c r="F2" s="234"/>
      <c r="G2" s="234"/>
      <c r="H2" s="234"/>
      <c r="I2" s="234"/>
      <c r="J2" s="2"/>
      <c r="K2" s="22"/>
      <c r="M2" s="23"/>
      <c r="N2" s="21"/>
      <c r="O2" s="21"/>
      <c r="T2" s="21"/>
      <c r="U2" s="21"/>
      <c r="X2" s="21"/>
      <c r="Y2" s="21"/>
    </row>
    <row r="3" spans="1:25">
      <c r="Q3" s="14"/>
    </row>
    <row r="4" spans="1:25" s="35" customFormat="1" ht="102">
      <c r="A4" s="24" t="s">
        <v>76</v>
      </c>
      <c r="B4" s="24" t="s">
        <v>77</v>
      </c>
      <c r="C4" s="207" t="s">
        <v>286</v>
      </c>
      <c r="D4" s="24" t="s">
        <v>78</v>
      </c>
      <c r="E4" s="24" t="s">
        <v>79</v>
      </c>
      <c r="F4" s="24" t="s">
        <v>80</v>
      </c>
      <c r="G4" s="24" t="s">
        <v>81</v>
      </c>
      <c r="H4" s="24" t="s">
        <v>82</v>
      </c>
      <c r="I4" s="24" t="s">
        <v>83</v>
      </c>
      <c r="J4" s="24" t="s">
        <v>84</v>
      </c>
      <c r="K4" s="24" t="s">
        <v>85</v>
      </c>
      <c r="L4" s="24" t="s">
        <v>86</v>
      </c>
      <c r="M4" s="24" t="s">
        <v>87</v>
      </c>
      <c r="N4" s="24" t="s">
        <v>88</v>
      </c>
      <c r="O4" s="24" t="s">
        <v>89</v>
      </c>
      <c r="P4" s="24" t="s">
        <v>90</v>
      </c>
      <c r="Q4" s="24" t="s">
        <v>91</v>
      </c>
      <c r="R4" s="24" t="s">
        <v>92</v>
      </c>
      <c r="S4" s="53" t="s">
        <v>93</v>
      </c>
      <c r="T4" s="59" t="s">
        <v>33</v>
      </c>
      <c r="U4" s="56" t="s">
        <v>94</v>
      </c>
      <c r="V4" s="24" t="s">
        <v>95</v>
      </c>
      <c r="W4" s="24" t="s">
        <v>96</v>
      </c>
    </row>
    <row r="5" spans="1:25" s="36" customFormat="1" ht="13.8">
      <c r="A5" s="26">
        <v>1</v>
      </c>
      <c r="B5" s="26">
        <v>2</v>
      </c>
      <c r="C5" s="206">
        <v>3</v>
      </c>
      <c r="D5" s="26">
        <v>4</v>
      </c>
      <c r="E5" s="26">
        <v>5</v>
      </c>
      <c r="F5" s="26">
        <v>6</v>
      </c>
      <c r="G5" s="26">
        <v>7</v>
      </c>
      <c r="H5" s="26">
        <v>8</v>
      </c>
      <c r="I5" s="26">
        <v>9</v>
      </c>
      <c r="J5" s="26">
        <v>10</v>
      </c>
      <c r="K5" s="26">
        <v>11</v>
      </c>
      <c r="L5" s="26">
        <v>12</v>
      </c>
      <c r="M5" s="26">
        <v>13</v>
      </c>
      <c r="N5" s="26">
        <v>14</v>
      </c>
      <c r="O5" s="26">
        <v>15</v>
      </c>
      <c r="P5" s="26">
        <v>16</v>
      </c>
      <c r="Q5" s="26">
        <v>17</v>
      </c>
      <c r="R5" s="26">
        <v>18</v>
      </c>
      <c r="S5" s="54">
        <v>19</v>
      </c>
      <c r="T5" s="60">
        <v>20</v>
      </c>
      <c r="U5" s="57">
        <v>21</v>
      </c>
      <c r="V5" s="26">
        <v>22</v>
      </c>
      <c r="W5" s="26">
        <v>23</v>
      </c>
    </row>
    <row r="6" spans="1:25" customFormat="1" ht="14.4">
      <c r="A6" s="27" t="s">
        <v>48</v>
      </c>
      <c r="B6" s="27" t="s">
        <v>49</v>
      </c>
      <c r="C6" s="205" t="s">
        <v>287</v>
      </c>
      <c r="D6" s="37" t="s">
        <v>97</v>
      </c>
      <c r="E6" s="29" t="s">
        <v>98</v>
      </c>
      <c r="F6" s="28" t="s">
        <v>50</v>
      </c>
      <c r="G6" s="27" t="s">
        <v>99</v>
      </c>
      <c r="H6" s="29" t="s">
        <v>100</v>
      </c>
      <c r="I6" s="29" t="s">
        <v>101</v>
      </c>
      <c r="J6" s="30" t="s">
        <v>102</v>
      </c>
      <c r="K6" s="38" t="s">
        <v>103</v>
      </c>
      <c r="L6" s="27" t="s">
        <v>104</v>
      </c>
      <c r="M6" s="29" t="s">
        <v>105</v>
      </c>
      <c r="N6" s="29" t="s">
        <v>106</v>
      </c>
      <c r="O6" s="30" t="s">
        <v>107</v>
      </c>
      <c r="P6" s="30" t="s">
        <v>108</v>
      </c>
      <c r="Q6" s="30" t="s">
        <v>109</v>
      </c>
      <c r="R6" s="30" t="s">
        <v>110</v>
      </c>
      <c r="S6" s="55" t="s">
        <v>111</v>
      </c>
      <c r="T6" s="61" t="s">
        <v>130</v>
      </c>
      <c r="U6" s="58" t="s">
        <v>112</v>
      </c>
      <c r="V6" s="30" t="s">
        <v>113</v>
      </c>
      <c r="W6" s="30" t="s">
        <v>114</v>
      </c>
    </row>
  </sheetData>
  <sheetProtection selectLockedCells="1" selectUnlockedCells="1"/>
  <mergeCells count="2">
    <mergeCell ref="G1:H1"/>
    <mergeCell ref="E2:I2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7"/>
  <sheetViews>
    <sheetView workbookViewId="0">
      <selection activeCell="A3" sqref="A3"/>
    </sheetView>
  </sheetViews>
  <sheetFormatPr defaultColWidth="9.109375" defaultRowHeight="13.2"/>
  <cols>
    <col min="1" max="1" width="11.44140625" style="14" customWidth="1"/>
    <col min="2" max="4" width="8.33203125" style="14" customWidth="1"/>
    <col min="5" max="5" width="8.109375" style="14" customWidth="1"/>
    <col min="6" max="6" width="8.109375" style="15" customWidth="1"/>
    <col min="7" max="7" width="8.5546875" style="14" customWidth="1"/>
    <col min="8" max="8" width="8.109375" style="14" customWidth="1"/>
    <col min="9" max="9" width="9.6640625" style="15" customWidth="1"/>
    <col min="10" max="11" width="10.109375" style="14" customWidth="1"/>
    <col min="12" max="12" width="10" style="15" customWidth="1"/>
    <col min="13" max="14" width="9.44140625" style="16" customWidth="1"/>
    <col min="15" max="15" width="8.109375" style="16" customWidth="1"/>
    <col min="16" max="16" width="8.109375" style="17" customWidth="1"/>
    <col min="17" max="18" width="8.109375" style="14" customWidth="1"/>
    <col min="19" max="19" width="9.6640625" style="16" customWidth="1"/>
    <col min="20" max="20" width="10.6640625" style="14" customWidth="1"/>
    <col min="21" max="21" width="8.33203125" style="16" customWidth="1"/>
    <col min="22" max="23" width="8.5546875" style="16" customWidth="1"/>
    <col min="24" max="24" width="10" style="16" customWidth="1"/>
    <col min="25" max="25" width="13" style="16" customWidth="1"/>
    <col min="26" max="26" width="11.88671875" style="14" customWidth="1"/>
    <col min="27" max="30" width="9.5546875" style="14" customWidth="1"/>
    <col min="31" max="31" width="10" style="14" customWidth="1"/>
    <col min="32" max="32" width="9" style="14" customWidth="1"/>
    <col min="33" max="36" width="10.109375" style="14" customWidth="1"/>
    <col min="37" max="39" width="10.44140625" style="14" customWidth="1"/>
    <col min="40" max="40" width="9.109375" style="14" customWidth="1"/>
    <col min="41" max="41" width="10" style="14" customWidth="1"/>
    <col min="42" max="42" width="9" style="14" customWidth="1"/>
    <col min="43" max="45" width="9.109375" style="14" customWidth="1"/>
    <col min="46" max="46" width="10" style="14" customWidth="1"/>
    <col min="47" max="47" width="9" style="14" customWidth="1"/>
    <col min="48" max="244" width="9.109375" style="14" customWidth="1"/>
    <col min="245" max="247" width="11.44140625" style="14" customWidth="1"/>
    <col min="248" max="248" width="18.33203125" style="14" customWidth="1"/>
    <col min="249" max="249" width="6.88671875" style="14" customWidth="1"/>
    <col min="250" max="251" width="12" style="14" customWidth="1"/>
    <col min="252" max="252" width="9.6640625" style="14" customWidth="1"/>
    <col min="253" max="254" width="10.109375" style="14" customWidth="1"/>
    <col min="255" max="255" width="10" style="14" customWidth="1"/>
    <col min="256" max="257" width="9.44140625" style="14" customWidth="1"/>
    <col min="258" max="16384" width="9.109375" style="14"/>
  </cols>
  <sheetData>
    <row r="1" spans="1:29" s="9" customFormat="1" ht="14.4">
      <c r="A1" s="1" t="s">
        <v>115</v>
      </c>
      <c r="B1" s="1"/>
      <c r="C1" s="2"/>
      <c r="D1" s="2"/>
      <c r="E1" s="2"/>
      <c r="F1" s="3"/>
      <c r="G1" s="3"/>
      <c r="H1" s="14"/>
      <c r="I1" s="4" t="s">
        <v>1</v>
      </c>
      <c r="J1" s="18" t="s">
        <v>2</v>
      </c>
      <c r="K1" s="4" t="s">
        <v>3</v>
      </c>
      <c r="M1" s="19"/>
      <c r="N1" s="19"/>
      <c r="O1" s="20"/>
      <c r="P1" s="20"/>
      <c r="U1" s="21"/>
      <c r="V1" s="21"/>
      <c r="Y1" s="21"/>
    </row>
    <row r="2" spans="1:29" s="9" customFormat="1" ht="14.4">
      <c r="A2" s="2" t="s">
        <v>4</v>
      </c>
      <c r="B2" s="2"/>
      <c r="C2" s="2"/>
      <c r="D2" s="2"/>
      <c r="E2" s="235" t="s">
        <v>5</v>
      </c>
      <c r="F2" s="235"/>
      <c r="G2" s="235"/>
      <c r="H2" s="235"/>
      <c r="I2" s="235"/>
      <c r="J2" s="2"/>
      <c r="K2" s="22"/>
      <c r="M2" s="23"/>
      <c r="N2" s="23"/>
      <c r="O2" s="21"/>
      <c r="P2" s="21"/>
      <c r="U2" s="21"/>
      <c r="V2" s="21"/>
      <c r="Y2" s="21"/>
    </row>
    <row r="3" spans="1:29" ht="13.8">
      <c r="F3" s="14"/>
      <c r="G3" s="15"/>
      <c r="I3" s="14"/>
      <c r="J3" s="15"/>
      <c r="L3" s="14"/>
      <c r="M3" s="15"/>
      <c r="N3" s="15"/>
      <c r="P3" s="9"/>
      <c r="Q3" s="9"/>
      <c r="S3" s="9"/>
      <c r="T3" s="16"/>
      <c r="X3" s="14"/>
      <c r="Y3" s="14"/>
    </row>
    <row r="4" spans="1:29" s="2" customFormat="1" ht="16.5" customHeight="1">
      <c r="A4" s="228" t="s">
        <v>28</v>
      </c>
      <c r="B4" s="228" t="s">
        <v>29</v>
      </c>
      <c r="C4" s="228" t="s">
        <v>30</v>
      </c>
      <c r="D4" s="231" t="s">
        <v>31</v>
      </c>
      <c r="E4" s="232"/>
      <c r="F4" s="232"/>
      <c r="G4" s="232"/>
      <c r="H4" s="232"/>
      <c r="I4" s="232"/>
      <c r="J4" s="232"/>
      <c r="K4" s="232"/>
      <c r="L4" s="232"/>
      <c r="M4" s="233"/>
      <c r="N4" s="166"/>
      <c r="O4" s="229" t="s">
        <v>32</v>
      </c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8" t="s">
        <v>33</v>
      </c>
      <c r="AA4" s="228" t="s">
        <v>34</v>
      </c>
      <c r="AB4" s="228" t="s">
        <v>35</v>
      </c>
    </row>
    <row r="5" spans="1:29" s="2" customFormat="1" ht="61.2">
      <c r="A5" s="228"/>
      <c r="B5" s="228"/>
      <c r="C5" s="228"/>
      <c r="D5" s="165" t="s">
        <v>286</v>
      </c>
      <c r="E5" s="24" t="s">
        <v>36</v>
      </c>
      <c r="F5" s="24" t="s">
        <v>37</v>
      </c>
      <c r="G5" s="24" t="s">
        <v>38</v>
      </c>
      <c r="H5" s="25" t="s">
        <v>39</v>
      </c>
      <c r="I5" s="25" t="s">
        <v>40</v>
      </c>
      <c r="J5" s="25" t="s">
        <v>41</v>
      </c>
      <c r="K5" s="25" t="s">
        <v>42</v>
      </c>
      <c r="L5" s="25" t="s">
        <v>43</v>
      </c>
      <c r="M5" s="25" t="s">
        <v>44</v>
      </c>
      <c r="N5" s="165" t="s">
        <v>286</v>
      </c>
      <c r="O5" s="24" t="s">
        <v>36</v>
      </c>
      <c r="P5" s="24" t="s">
        <v>37</v>
      </c>
      <c r="Q5" s="24" t="s">
        <v>38</v>
      </c>
      <c r="R5" s="25" t="s">
        <v>39</v>
      </c>
      <c r="S5" s="25" t="s">
        <v>40</v>
      </c>
      <c r="T5" s="24" t="s">
        <v>45</v>
      </c>
      <c r="U5" s="24" t="s">
        <v>46</v>
      </c>
      <c r="V5" s="25" t="s">
        <v>47</v>
      </c>
      <c r="W5" s="25" t="s">
        <v>42</v>
      </c>
      <c r="X5" s="25" t="s">
        <v>43</v>
      </c>
      <c r="Y5" s="25" t="s">
        <v>44</v>
      </c>
      <c r="Z5" s="228"/>
      <c r="AA5" s="228"/>
      <c r="AB5" s="228"/>
    </row>
    <row r="6" spans="1:29" s="2" customFormat="1" ht="13.8">
      <c r="A6" s="26">
        <v>1</v>
      </c>
      <c r="B6" s="26">
        <v>2</v>
      </c>
      <c r="C6" s="26">
        <v>3</v>
      </c>
      <c r="D6" s="167">
        <v>4</v>
      </c>
      <c r="E6" s="26">
        <v>5</v>
      </c>
      <c r="F6" s="26">
        <v>6</v>
      </c>
      <c r="G6" s="26">
        <v>7</v>
      </c>
      <c r="H6" s="26">
        <v>8</v>
      </c>
      <c r="I6" s="26">
        <v>9</v>
      </c>
      <c r="J6" s="26">
        <v>10</v>
      </c>
      <c r="K6" s="26">
        <v>11</v>
      </c>
      <c r="L6" s="26">
        <v>12</v>
      </c>
      <c r="M6" s="26">
        <v>13</v>
      </c>
      <c r="N6" s="167">
        <v>14</v>
      </c>
      <c r="O6" s="26">
        <v>15</v>
      </c>
      <c r="P6" s="26">
        <v>16</v>
      </c>
      <c r="Q6" s="26">
        <v>17</v>
      </c>
      <c r="R6" s="26">
        <v>18</v>
      </c>
      <c r="S6" s="26">
        <v>19</v>
      </c>
      <c r="T6" s="26">
        <v>20</v>
      </c>
      <c r="U6" s="26">
        <v>21</v>
      </c>
      <c r="V6" s="26">
        <v>22</v>
      </c>
      <c r="W6" s="26">
        <v>23</v>
      </c>
      <c r="X6" s="26">
        <v>24</v>
      </c>
      <c r="Y6" s="26">
        <v>25</v>
      </c>
      <c r="Z6" s="26">
        <v>25</v>
      </c>
      <c r="AA6" s="26">
        <v>27</v>
      </c>
      <c r="AB6" s="26">
        <v>28</v>
      </c>
    </row>
    <row r="7" spans="1:29" s="2" customFormat="1" ht="13.8">
      <c r="A7" s="27" t="s">
        <v>48</v>
      </c>
      <c r="B7" s="27" t="s">
        <v>49</v>
      </c>
      <c r="C7" s="28" t="s">
        <v>50</v>
      </c>
      <c r="D7" s="201" t="s">
        <v>287</v>
      </c>
      <c r="E7" s="27" t="s">
        <v>51</v>
      </c>
      <c r="F7" s="29" t="s">
        <v>52</v>
      </c>
      <c r="G7" s="29" t="s">
        <v>53</v>
      </c>
      <c r="H7" s="30" t="s">
        <v>54</v>
      </c>
      <c r="I7" s="31" t="s">
        <v>55</v>
      </c>
      <c r="J7" s="30" t="s">
        <v>56</v>
      </c>
      <c r="K7" s="32" t="s">
        <v>57</v>
      </c>
      <c r="L7" s="32" t="s">
        <v>58</v>
      </c>
      <c r="M7" s="30" t="s">
        <v>59</v>
      </c>
      <c r="N7" s="201" t="s">
        <v>288</v>
      </c>
      <c r="O7" s="27" t="s">
        <v>60</v>
      </c>
      <c r="P7" s="29" t="s">
        <v>61</v>
      </c>
      <c r="Q7" s="29" t="s">
        <v>62</v>
      </c>
      <c r="R7" s="30" t="s">
        <v>63</v>
      </c>
      <c r="S7" s="31" t="s">
        <v>64</v>
      </c>
      <c r="T7" s="30" t="s">
        <v>65</v>
      </c>
      <c r="U7" s="30" t="s">
        <v>66</v>
      </c>
      <c r="V7" s="30" t="s">
        <v>67</v>
      </c>
      <c r="W7" s="32" t="s">
        <v>68</v>
      </c>
      <c r="X7" s="32" t="s">
        <v>69</v>
      </c>
      <c r="Y7" s="30" t="s">
        <v>70</v>
      </c>
      <c r="Z7" s="30" t="s">
        <v>71</v>
      </c>
      <c r="AA7" s="33" t="s">
        <v>72</v>
      </c>
      <c r="AB7" s="27" t="s">
        <v>73</v>
      </c>
      <c r="AC7" s="34" t="s">
        <v>74</v>
      </c>
    </row>
  </sheetData>
  <sheetProtection selectLockedCells="1" selectUnlockedCells="1"/>
  <mergeCells count="9">
    <mergeCell ref="Z4:Z5"/>
    <mergeCell ref="AA4:AA5"/>
    <mergeCell ref="AB4:AB5"/>
    <mergeCell ref="E2:I2"/>
    <mergeCell ref="A4:A5"/>
    <mergeCell ref="B4:B5"/>
    <mergeCell ref="C4:C5"/>
    <mergeCell ref="O4:Y4"/>
    <mergeCell ref="D4:M4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2"/>
  <sheetViews>
    <sheetView workbookViewId="0">
      <selection activeCell="A12" sqref="A12"/>
    </sheetView>
  </sheetViews>
  <sheetFormatPr defaultColWidth="9" defaultRowHeight="14.4"/>
  <cols>
    <col min="1" max="5" width="9" customWidth="1"/>
    <col min="6" max="6" width="14.5546875" customWidth="1"/>
    <col min="7" max="7" width="15" customWidth="1"/>
    <col min="8" max="8" width="18.6640625" customWidth="1"/>
    <col min="9" max="9" width="9" customWidth="1"/>
    <col min="10" max="10" width="18.109375" customWidth="1"/>
    <col min="11" max="11" width="11.44140625" customWidth="1"/>
  </cols>
  <sheetData>
    <row r="1" spans="1:20">
      <c r="A1" s="1" t="s">
        <v>116</v>
      </c>
      <c r="B1" s="2"/>
      <c r="C1" s="2"/>
      <c r="D1" s="2"/>
      <c r="E1" s="2"/>
      <c r="F1" s="2"/>
      <c r="G1" s="1" t="s">
        <v>117</v>
      </c>
      <c r="H1" s="1" t="s">
        <v>1</v>
      </c>
      <c r="I1" s="1" t="s">
        <v>2</v>
      </c>
      <c r="J1" s="1" t="s">
        <v>3</v>
      </c>
      <c r="K1" s="1"/>
      <c r="L1" s="2"/>
      <c r="M1" s="2"/>
      <c r="N1" s="2"/>
      <c r="O1" s="2"/>
      <c r="P1" s="2"/>
      <c r="Q1" s="2"/>
      <c r="R1" s="2"/>
      <c r="S1" s="2"/>
      <c r="T1" s="2"/>
    </row>
    <row r="2" spans="1:20">
      <c r="A2" s="2" t="s">
        <v>4</v>
      </c>
      <c r="B2" s="2"/>
      <c r="C2" s="2"/>
      <c r="D2" s="39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15.6">
      <c r="A4" s="40" t="s">
        <v>118</v>
      </c>
      <c r="B4" s="40"/>
      <c r="C4" s="40"/>
      <c r="D4" s="40"/>
      <c r="E4" s="41"/>
      <c r="F4" s="40"/>
      <c r="G4" s="40"/>
      <c r="H4" s="40"/>
      <c r="I4" s="40"/>
      <c r="J4" s="42"/>
      <c r="K4" s="43" t="s">
        <v>119</v>
      </c>
      <c r="M4" s="40"/>
      <c r="N4" s="44"/>
      <c r="O4" s="45"/>
      <c r="P4" s="45"/>
      <c r="Q4" s="46"/>
      <c r="R4" s="46"/>
      <c r="S4" s="46"/>
      <c r="T4" s="46"/>
    </row>
    <row r="5" spans="1:20" ht="15.6">
      <c r="A5" s="40" t="s">
        <v>120</v>
      </c>
      <c r="B5" s="40"/>
      <c r="C5" s="40"/>
      <c r="D5" s="40"/>
      <c r="E5" s="41"/>
      <c r="F5" s="40"/>
      <c r="G5" s="40"/>
      <c r="H5" s="40"/>
      <c r="I5" s="40"/>
      <c r="J5" s="40"/>
      <c r="K5" s="43" t="s">
        <v>25</v>
      </c>
      <c r="M5" s="40"/>
      <c r="N5" s="44"/>
      <c r="O5" s="45"/>
      <c r="P5" s="45"/>
      <c r="Q5" s="46"/>
      <c r="R5" s="46"/>
      <c r="S5" s="46"/>
      <c r="T5" s="46"/>
    </row>
    <row r="6" spans="1:20" ht="15.6">
      <c r="A6" s="40" t="s">
        <v>121</v>
      </c>
      <c r="B6" s="40"/>
      <c r="C6" s="40"/>
      <c r="D6" s="40"/>
      <c r="E6" s="40"/>
      <c r="F6" s="40"/>
      <c r="G6" s="40"/>
      <c r="H6" s="40"/>
      <c r="I6" s="40"/>
      <c r="J6" s="40"/>
      <c r="K6" s="219" t="s">
        <v>122</v>
      </c>
      <c r="M6" s="40"/>
      <c r="N6" s="44"/>
      <c r="O6" s="45"/>
      <c r="P6" s="45"/>
      <c r="Q6" s="46"/>
      <c r="R6" s="46"/>
      <c r="S6" s="46"/>
      <c r="T6" s="46"/>
    </row>
    <row r="7" spans="1:20" ht="15.6">
      <c r="A7" s="40" t="s">
        <v>23</v>
      </c>
      <c r="B7" s="40"/>
      <c r="C7" s="40"/>
      <c r="D7" s="40"/>
      <c r="E7" s="40"/>
      <c r="F7" s="40"/>
      <c r="G7" s="40"/>
      <c r="H7" s="40"/>
      <c r="I7" s="40"/>
      <c r="J7" s="40"/>
      <c r="K7" s="47" t="s">
        <v>24</v>
      </c>
      <c r="M7" s="40"/>
      <c r="N7" s="44"/>
      <c r="O7" s="45"/>
      <c r="P7" s="45"/>
      <c r="Q7" s="46"/>
      <c r="R7" s="46"/>
      <c r="S7" s="46"/>
      <c r="T7" s="46"/>
    </row>
    <row r="8" spans="1:20">
      <c r="A8" s="14"/>
      <c r="B8" s="14"/>
      <c r="C8" s="15"/>
      <c r="D8" s="15"/>
      <c r="E8" s="14"/>
      <c r="F8" s="14"/>
      <c r="G8" s="15"/>
      <c r="H8" s="14"/>
      <c r="I8" s="14"/>
      <c r="J8" s="15"/>
      <c r="K8" s="15"/>
      <c r="L8" s="16"/>
      <c r="M8" s="16"/>
      <c r="N8" s="9"/>
      <c r="O8" s="14"/>
      <c r="P8" s="14"/>
      <c r="Q8" s="16"/>
      <c r="R8" s="14"/>
      <c r="S8" s="16"/>
      <c r="T8" s="16"/>
    </row>
    <row r="9" spans="1:20" ht="16.5" customHeight="1">
      <c r="A9" s="228" t="s">
        <v>28</v>
      </c>
      <c r="B9" s="228" t="s">
        <v>29</v>
      </c>
      <c r="C9" s="228" t="s">
        <v>30</v>
      </c>
      <c r="D9" s="231" t="s">
        <v>31</v>
      </c>
      <c r="E9" s="232"/>
      <c r="F9" s="232"/>
      <c r="G9" s="232"/>
      <c r="H9" s="232"/>
      <c r="I9" s="232"/>
      <c r="J9" s="233"/>
      <c r="K9" s="204"/>
      <c r="L9" s="231" t="s">
        <v>32</v>
      </c>
      <c r="M9" s="231"/>
      <c r="N9" s="231"/>
      <c r="O9" s="231"/>
      <c r="P9" s="231"/>
      <c r="Q9" s="231"/>
      <c r="R9" s="228" t="s">
        <v>123</v>
      </c>
      <c r="S9" s="228" t="s">
        <v>124</v>
      </c>
      <c r="T9" s="228" t="s">
        <v>125</v>
      </c>
    </row>
    <row r="10" spans="1:20" ht="61.2">
      <c r="A10" s="228"/>
      <c r="B10" s="228"/>
      <c r="C10" s="228"/>
      <c r="D10" s="212" t="s">
        <v>286</v>
      </c>
      <c r="E10" s="24" t="s">
        <v>36</v>
      </c>
      <c r="F10" s="24" t="s">
        <v>37</v>
      </c>
      <c r="G10" s="24" t="s">
        <v>38</v>
      </c>
      <c r="H10" s="25" t="s">
        <v>39</v>
      </c>
      <c r="I10" s="25" t="s">
        <v>40</v>
      </c>
      <c r="J10" s="25" t="s">
        <v>44</v>
      </c>
      <c r="K10" s="212" t="s">
        <v>286</v>
      </c>
      <c r="L10" s="24" t="s">
        <v>36</v>
      </c>
      <c r="M10" s="24" t="s">
        <v>37</v>
      </c>
      <c r="N10" s="24" t="s">
        <v>38</v>
      </c>
      <c r="O10" s="25" t="s">
        <v>39</v>
      </c>
      <c r="P10" s="25" t="s">
        <v>40</v>
      </c>
      <c r="Q10" s="25" t="s">
        <v>44</v>
      </c>
      <c r="R10" s="228"/>
      <c r="S10" s="228"/>
      <c r="T10" s="228"/>
    </row>
    <row r="11" spans="1:20">
      <c r="A11" s="26">
        <v>1</v>
      </c>
      <c r="B11" s="26">
        <v>2</v>
      </c>
      <c r="C11" s="26">
        <v>3</v>
      </c>
      <c r="D11" s="211">
        <v>4</v>
      </c>
      <c r="E11" s="26">
        <v>5</v>
      </c>
      <c r="F11" s="26">
        <v>6</v>
      </c>
      <c r="G11" s="26">
        <v>7</v>
      </c>
      <c r="H11" s="26">
        <v>8</v>
      </c>
      <c r="I11" s="26">
        <v>9</v>
      </c>
      <c r="J11" s="26">
        <v>10</v>
      </c>
      <c r="K11" s="211">
        <v>11</v>
      </c>
      <c r="L11" s="26">
        <v>12</v>
      </c>
      <c r="M11" s="26">
        <v>13</v>
      </c>
      <c r="N11" s="26">
        <v>14</v>
      </c>
      <c r="O11" s="26">
        <v>15</v>
      </c>
      <c r="P11" s="26">
        <v>16</v>
      </c>
      <c r="Q11" s="26">
        <v>17</v>
      </c>
      <c r="R11" s="26">
        <v>18</v>
      </c>
      <c r="S11" s="26">
        <v>19</v>
      </c>
      <c r="T11" s="26">
        <v>20</v>
      </c>
    </row>
    <row r="12" spans="1:20">
      <c r="A12" s="27" t="s">
        <v>48</v>
      </c>
      <c r="B12" s="48" t="s">
        <v>49</v>
      </c>
      <c r="C12" s="49" t="s">
        <v>50</v>
      </c>
      <c r="D12" s="210" t="s">
        <v>287</v>
      </c>
      <c r="E12" s="48" t="s">
        <v>51</v>
      </c>
      <c r="F12" s="29" t="s">
        <v>52</v>
      </c>
      <c r="G12" s="29" t="s">
        <v>53</v>
      </c>
      <c r="H12" s="50" t="s">
        <v>54</v>
      </c>
      <c r="I12" s="51" t="s">
        <v>55</v>
      </c>
      <c r="J12" s="52" t="s">
        <v>59</v>
      </c>
      <c r="K12" s="210" t="s">
        <v>288</v>
      </c>
      <c r="L12" s="48" t="s">
        <v>60</v>
      </c>
      <c r="M12" s="29" t="s">
        <v>61</v>
      </c>
      <c r="N12" s="29" t="s">
        <v>62</v>
      </c>
      <c r="O12" s="50" t="s">
        <v>63</v>
      </c>
      <c r="P12" s="51" t="s">
        <v>64</v>
      </c>
      <c r="Q12" s="50" t="s">
        <v>70</v>
      </c>
      <c r="R12" s="30" t="s">
        <v>126</v>
      </c>
      <c r="S12" s="30" t="s">
        <v>127</v>
      </c>
      <c r="T12" s="28" t="s">
        <v>128</v>
      </c>
    </row>
  </sheetData>
  <sheetProtection selectLockedCells="1" selectUnlockedCells="1"/>
  <mergeCells count="8">
    <mergeCell ref="S9:S10"/>
    <mergeCell ref="T9:T10"/>
    <mergeCell ref="A9:A10"/>
    <mergeCell ref="B9:B10"/>
    <mergeCell ref="C9:C10"/>
    <mergeCell ref="L9:Q9"/>
    <mergeCell ref="R9:R10"/>
    <mergeCell ref="D9:J9"/>
  </mergeCell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7"/>
  <sheetViews>
    <sheetView workbookViewId="0">
      <selection activeCell="Q17" sqref="Q17"/>
    </sheetView>
  </sheetViews>
  <sheetFormatPr defaultRowHeight="14.4"/>
  <cols>
    <col min="5" max="5" width="9.33203125" customWidth="1"/>
    <col min="8" max="8" width="11.6640625" customWidth="1"/>
    <col min="10" max="10" width="11.6640625" customWidth="1"/>
  </cols>
  <sheetData>
    <row r="1" spans="1:25">
      <c r="A1" s="62" t="s">
        <v>131</v>
      </c>
      <c r="B1" s="63"/>
      <c r="C1" s="64"/>
      <c r="D1" s="64"/>
      <c r="E1" s="63"/>
      <c r="F1" s="65"/>
      <c r="G1" s="66" t="s">
        <v>117</v>
      </c>
      <c r="H1" s="83" t="s">
        <v>1</v>
      </c>
      <c r="I1" s="66" t="s">
        <v>2</v>
      </c>
      <c r="J1" s="83" t="s">
        <v>3</v>
      </c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 spans="1:25">
      <c r="A2" s="68" t="s">
        <v>4</v>
      </c>
      <c r="B2" s="63"/>
      <c r="C2" s="64"/>
      <c r="D2" s="64"/>
      <c r="E2" s="69" t="s">
        <v>5</v>
      </c>
      <c r="F2" s="66"/>
      <c r="G2" s="66"/>
      <c r="H2" s="65"/>
      <c r="I2" s="65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 spans="1:25" ht="15.6">
      <c r="A3" s="70"/>
      <c r="B3" s="70"/>
      <c r="C3" s="71"/>
      <c r="D3" s="71"/>
      <c r="E3" s="71"/>
      <c r="F3" s="71"/>
      <c r="G3" s="71"/>
      <c r="H3" s="71"/>
      <c r="I3" s="72"/>
      <c r="J3" s="70"/>
      <c r="K3" s="70"/>
      <c r="L3" s="70"/>
      <c r="M3" s="70"/>
      <c r="N3" s="70"/>
      <c r="O3" s="72"/>
      <c r="P3" s="72"/>
      <c r="Q3" s="70"/>
      <c r="R3" s="70"/>
      <c r="S3" s="70"/>
      <c r="T3" s="70"/>
      <c r="U3" s="72"/>
      <c r="V3" s="70"/>
      <c r="W3" s="70"/>
      <c r="X3" s="70"/>
      <c r="Y3" s="70"/>
    </row>
    <row r="4" spans="1:25">
      <c r="A4" s="236" t="s">
        <v>28</v>
      </c>
      <c r="B4" s="236" t="s">
        <v>77</v>
      </c>
      <c r="C4" s="236" t="s">
        <v>132</v>
      </c>
      <c r="D4" s="245" t="s">
        <v>286</v>
      </c>
      <c r="E4" s="236" t="s">
        <v>133</v>
      </c>
      <c r="F4" s="236" t="s">
        <v>134</v>
      </c>
      <c r="G4" s="236" t="s">
        <v>135</v>
      </c>
      <c r="H4" s="236" t="s">
        <v>136</v>
      </c>
      <c r="I4" s="236" t="s">
        <v>137</v>
      </c>
      <c r="J4" s="236" t="s">
        <v>138</v>
      </c>
      <c r="K4" s="236" t="s">
        <v>139</v>
      </c>
      <c r="L4" s="236" t="s">
        <v>140</v>
      </c>
      <c r="M4" s="236" t="s">
        <v>141</v>
      </c>
      <c r="N4" s="240" t="s">
        <v>142</v>
      </c>
      <c r="O4" s="242" t="s">
        <v>143</v>
      </c>
      <c r="P4" s="243"/>
      <c r="Q4" s="242" t="s">
        <v>144</v>
      </c>
      <c r="R4" s="244"/>
      <c r="S4" s="244"/>
      <c r="T4" s="243"/>
      <c r="U4" s="236" t="s">
        <v>145</v>
      </c>
      <c r="V4" s="236" t="s">
        <v>146</v>
      </c>
      <c r="W4" s="238" t="s">
        <v>147</v>
      </c>
      <c r="X4" s="236" t="s">
        <v>148</v>
      </c>
      <c r="Y4" s="236" t="s">
        <v>149</v>
      </c>
    </row>
    <row r="5" spans="1:25" ht="51">
      <c r="A5" s="237"/>
      <c r="B5" s="237"/>
      <c r="C5" s="237"/>
      <c r="D5" s="246"/>
      <c r="E5" s="237"/>
      <c r="F5" s="237"/>
      <c r="G5" s="237"/>
      <c r="H5" s="237"/>
      <c r="I5" s="237"/>
      <c r="J5" s="237"/>
      <c r="K5" s="237"/>
      <c r="L5" s="237"/>
      <c r="M5" s="237"/>
      <c r="N5" s="241"/>
      <c r="O5" s="59" t="s">
        <v>150</v>
      </c>
      <c r="P5" s="73" t="s">
        <v>151</v>
      </c>
      <c r="Q5" s="73" t="s">
        <v>152</v>
      </c>
      <c r="R5" s="73" t="s">
        <v>153</v>
      </c>
      <c r="S5" s="73" t="s">
        <v>154</v>
      </c>
      <c r="T5" s="73" t="s">
        <v>155</v>
      </c>
      <c r="U5" s="237"/>
      <c r="V5" s="237"/>
      <c r="W5" s="239"/>
      <c r="X5" s="237"/>
      <c r="Y5" s="237"/>
    </row>
    <row r="6" spans="1:25">
      <c r="A6" s="74">
        <v>1</v>
      </c>
      <c r="B6" s="74">
        <v>2</v>
      </c>
      <c r="C6" s="74">
        <v>3</v>
      </c>
      <c r="D6" s="208">
        <v>4</v>
      </c>
      <c r="E6" s="74">
        <v>5</v>
      </c>
      <c r="F6" s="74">
        <v>6</v>
      </c>
      <c r="G6" s="74">
        <v>7</v>
      </c>
      <c r="H6" s="74">
        <v>8</v>
      </c>
      <c r="I6" s="74">
        <v>9</v>
      </c>
      <c r="J6" s="74">
        <v>10</v>
      </c>
      <c r="K6" s="74">
        <v>11</v>
      </c>
      <c r="L6" s="74">
        <v>12</v>
      </c>
      <c r="M6" s="74">
        <v>13</v>
      </c>
      <c r="N6" s="74">
        <v>14</v>
      </c>
      <c r="O6" s="74">
        <v>15</v>
      </c>
      <c r="P6" s="74">
        <v>16</v>
      </c>
      <c r="Q6" s="74">
        <v>17</v>
      </c>
      <c r="R6" s="74">
        <v>18</v>
      </c>
      <c r="S6" s="74">
        <v>19</v>
      </c>
      <c r="T6" s="74">
        <v>20</v>
      </c>
      <c r="U6" s="74">
        <v>21</v>
      </c>
      <c r="V6" s="74">
        <v>22</v>
      </c>
      <c r="W6" s="74">
        <v>23</v>
      </c>
      <c r="X6" s="74">
        <v>24</v>
      </c>
      <c r="Y6" s="74">
        <v>25</v>
      </c>
    </row>
    <row r="7" spans="1:25">
      <c r="A7" s="75" t="s">
        <v>48</v>
      </c>
      <c r="B7" s="75" t="s">
        <v>49</v>
      </c>
      <c r="C7" s="76" t="s">
        <v>156</v>
      </c>
      <c r="D7" s="209" t="s">
        <v>288</v>
      </c>
      <c r="E7" s="75" t="s">
        <v>60</v>
      </c>
      <c r="F7" s="84" t="s">
        <v>61</v>
      </c>
      <c r="G7" s="84" t="s">
        <v>157</v>
      </c>
      <c r="H7" s="84" t="s">
        <v>62</v>
      </c>
      <c r="I7" s="86" t="s">
        <v>50</v>
      </c>
      <c r="J7" s="78" t="s">
        <v>158</v>
      </c>
      <c r="K7" s="77" t="s">
        <v>159</v>
      </c>
      <c r="L7" s="77" t="s">
        <v>160</v>
      </c>
      <c r="M7" s="78" t="s">
        <v>161</v>
      </c>
      <c r="N7" s="78" t="s">
        <v>162</v>
      </c>
      <c r="O7" s="78" t="s">
        <v>163</v>
      </c>
      <c r="P7" s="78" t="s">
        <v>164</v>
      </c>
      <c r="Q7" s="77" t="s">
        <v>165</v>
      </c>
      <c r="R7" s="78" t="s">
        <v>166</v>
      </c>
      <c r="S7" s="75" t="s">
        <v>167</v>
      </c>
      <c r="T7" s="84" t="s">
        <v>168</v>
      </c>
      <c r="U7" s="78" t="s">
        <v>70</v>
      </c>
      <c r="V7" s="79" t="s">
        <v>170</v>
      </c>
      <c r="W7" s="80" t="s">
        <v>171</v>
      </c>
      <c r="X7" s="81" t="s">
        <v>72</v>
      </c>
      <c r="Y7" s="82" t="s">
        <v>172</v>
      </c>
    </row>
  </sheetData>
  <mergeCells count="21">
    <mergeCell ref="A4:A5"/>
    <mergeCell ref="B4:B5"/>
    <mergeCell ref="C4:C5"/>
    <mergeCell ref="E4:E5"/>
    <mergeCell ref="F4:F5"/>
    <mergeCell ref="D4:D5"/>
    <mergeCell ref="G4:G5"/>
    <mergeCell ref="H4:H5"/>
    <mergeCell ref="I4:I5"/>
    <mergeCell ref="J4:J5"/>
    <mergeCell ref="K4:K5"/>
    <mergeCell ref="L4:L5"/>
    <mergeCell ref="M4:M5"/>
    <mergeCell ref="W4:W5"/>
    <mergeCell ref="X4:X5"/>
    <mergeCell ref="Y4:Y5"/>
    <mergeCell ref="N4:N5"/>
    <mergeCell ref="O4:P4"/>
    <mergeCell ref="Q4:T4"/>
    <mergeCell ref="U4:U5"/>
    <mergeCell ref="V4:V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8"/>
  <sheetViews>
    <sheetView zoomScaleNormal="100" workbookViewId="0">
      <selection activeCell="A3" sqref="A3"/>
    </sheetView>
  </sheetViews>
  <sheetFormatPr defaultRowHeight="14.4"/>
  <cols>
    <col min="1" max="2" width="11.44140625" customWidth="1"/>
    <col min="3" max="3" width="10" customWidth="1"/>
    <col min="4" max="4" width="14.5546875" customWidth="1"/>
    <col min="5" max="5" width="10.109375" customWidth="1"/>
    <col min="6" max="6" width="12" customWidth="1"/>
    <col min="7" max="7" width="8.6640625" customWidth="1"/>
    <col min="8" max="8" width="9.6640625" customWidth="1"/>
    <col min="9" max="11" width="10.109375" customWidth="1"/>
    <col min="12" max="12" width="8.5546875" customWidth="1"/>
    <col min="14" max="14" width="8.33203125" customWidth="1"/>
    <col min="16" max="16" width="9.6640625" customWidth="1"/>
    <col min="17" max="17" width="9.33203125" customWidth="1"/>
    <col min="18" max="18" width="10.6640625" customWidth="1"/>
    <col min="19" max="19" width="8.6640625" customWidth="1"/>
    <col min="20" max="20" width="8.5546875" customWidth="1"/>
    <col min="22" max="22" width="10" customWidth="1"/>
    <col min="23" max="23" width="13" customWidth="1"/>
    <col min="24" max="24" width="11.6640625" customWidth="1"/>
  </cols>
  <sheetData>
    <row r="1" spans="1:24">
      <c r="A1" s="87" t="s">
        <v>175</v>
      </c>
      <c r="B1" s="88"/>
      <c r="C1" s="89"/>
      <c r="D1" s="90"/>
      <c r="E1" s="66" t="s">
        <v>117</v>
      </c>
      <c r="F1" s="83" t="s">
        <v>1</v>
      </c>
      <c r="G1" s="66" t="s">
        <v>2</v>
      </c>
      <c r="H1" s="83" t="s">
        <v>3</v>
      </c>
      <c r="I1" s="67"/>
      <c r="J1" s="67"/>
      <c r="K1" s="67"/>
      <c r="L1" s="91"/>
      <c r="M1" s="91"/>
      <c r="N1" s="91"/>
      <c r="O1" s="91"/>
      <c r="P1" s="91"/>
      <c r="Q1" s="67"/>
      <c r="R1" s="92"/>
      <c r="S1" s="93"/>
      <c r="T1" s="93"/>
      <c r="U1" s="67"/>
      <c r="V1" s="67"/>
      <c r="W1" s="67"/>
      <c r="X1" s="67"/>
    </row>
    <row r="2" spans="1:24">
      <c r="A2" s="68" t="s">
        <v>4</v>
      </c>
      <c r="B2" s="65"/>
      <c r="C2" s="87" t="s">
        <v>5</v>
      </c>
      <c r="D2" s="69"/>
      <c r="E2" s="65"/>
      <c r="F2" s="67"/>
      <c r="G2" s="65"/>
      <c r="H2" s="67"/>
      <c r="I2" s="65"/>
      <c r="J2" s="67"/>
      <c r="K2" s="67"/>
      <c r="L2" s="65"/>
      <c r="M2" s="63"/>
      <c r="N2" s="67"/>
      <c r="O2" s="67"/>
      <c r="P2" s="67"/>
      <c r="Q2" s="67"/>
      <c r="R2" s="93"/>
      <c r="S2" s="93"/>
      <c r="T2" s="67"/>
      <c r="U2" s="67"/>
      <c r="V2" s="93"/>
      <c r="W2" s="93"/>
      <c r="X2" s="67"/>
    </row>
    <row r="3" spans="1:24" ht="16.5" customHeight="1">
      <c r="A3" s="94"/>
      <c r="B3" s="95"/>
      <c r="C3" s="94"/>
      <c r="D3" s="94"/>
      <c r="E3" s="96"/>
      <c r="F3" s="94"/>
      <c r="G3" s="97"/>
      <c r="H3" s="98"/>
      <c r="I3" s="97"/>
      <c r="J3" s="97"/>
      <c r="K3" s="97"/>
      <c r="L3" s="99"/>
      <c r="M3" s="99"/>
      <c r="N3" s="99"/>
      <c r="O3" s="100"/>
      <c r="P3" s="100"/>
      <c r="Q3" s="99"/>
      <c r="R3" s="99"/>
      <c r="S3" s="99"/>
      <c r="T3" s="99"/>
      <c r="U3" s="98"/>
      <c r="V3" s="98"/>
      <c r="W3" s="98"/>
      <c r="X3" s="97"/>
    </row>
    <row r="4" spans="1:24" ht="51">
      <c r="A4" s="85" t="s">
        <v>176</v>
      </c>
      <c r="B4" s="85" t="s">
        <v>177</v>
      </c>
      <c r="C4" s="85" t="s">
        <v>178</v>
      </c>
      <c r="D4" s="85" t="s">
        <v>179</v>
      </c>
      <c r="E4" s="85" t="s">
        <v>180</v>
      </c>
      <c r="F4" s="85" t="s">
        <v>181</v>
      </c>
      <c r="G4" s="85" t="s">
        <v>181</v>
      </c>
      <c r="H4" s="85" t="s">
        <v>182</v>
      </c>
      <c r="I4" s="85" t="s">
        <v>183</v>
      </c>
      <c r="J4" s="85" t="s">
        <v>184</v>
      </c>
      <c r="K4" s="214" t="s">
        <v>286</v>
      </c>
      <c r="L4" s="85" t="s">
        <v>185</v>
      </c>
      <c r="M4" s="85" t="s">
        <v>186</v>
      </c>
      <c r="N4" s="85" t="s">
        <v>187</v>
      </c>
      <c r="O4" s="85" t="s">
        <v>188</v>
      </c>
      <c r="P4" s="85" t="s">
        <v>189</v>
      </c>
      <c r="Q4" s="85" t="s">
        <v>190</v>
      </c>
      <c r="R4" s="85" t="s">
        <v>191</v>
      </c>
      <c r="S4" s="85" t="s">
        <v>192</v>
      </c>
      <c r="T4" s="85" t="s">
        <v>193</v>
      </c>
      <c r="U4" s="85" t="s">
        <v>194</v>
      </c>
      <c r="V4" s="85" t="s">
        <v>195</v>
      </c>
      <c r="W4" s="85" t="s">
        <v>196</v>
      </c>
      <c r="X4" s="85" t="s">
        <v>149</v>
      </c>
    </row>
    <row r="5" spans="1:24">
      <c r="A5" s="74">
        <v>1</v>
      </c>
      <c r="B5" s="74">
        <v>2</v>
      </c>
      <c r="C5" s="74">
        <v>3</v>
      </c>
      <c r="D5" s="74">
        <v>4</v>
      </c>
      <c r="E5" s="74">
        <v>5</v>
      </c>
      <c r="F5" s="74">
        <v>6</v>
      </c>
      <c r="G5" s="74">
        <v>7</v>
      </c>
      <c r="H5" s="74">
        <v>8</v>
      </c>
      <c r="I5" s="74">
        <v>9</v>
      </c>
      <c r="J5" s="74">
        <v>10</v>
      </c>
      <c r="K5" s="213">
        <v>11</v>
      </c>
      <c r="L5" s="74">
        <v>12</v>
      </c>
      <c r="M5" s="74">
        <v>13</v>
      </c>
      <c r="N5" s="74">
        <v>14</v>
      </c>
      <c r="O5" s="74">
        <v>15</v>
      </c>
      <c r="P5" s="74">
        <v>16</v>
      </c>
      <c r="Q5" s="74">
        <v>17</v>
      </c>
      <c r="R5" s="74">
        <v>18</v>
      </c>
      <c r="S5" s="74">
        <v>19</v>
      </c>
      <c r="T5" s="74">
        <v>20</v>
      </c>
      <c r="U5" s="74">
        <v>21</v>
      </c>
      <c r="V5" s="74">
        <v>22</v>
      </c>
      <c r="W5" s="74">
        <v>23</v>
      </c>
      <c r="X5" s="74">
        <v>24</v>
      </c>
    </row>
    <row r="6" spans="1:24">
      <c r="A6" s="101" t="s">
        <v>197</v>
      </c>
      <c r="B6" s="101"/>
      <c r="C6" s="101"/>
      <c r="D6" s="102"/>
      <c r="E6" s="103"/>
      <c r="F6" s="104"/>
      <c r="G6" s="104"/>
      <c r="H6" s="104"/>
      <c r="I6" s="104"/>
      <c r="J6" s="104"/>
      <c r="K6" s="215"/>
      <c r="L6" s="104"/>
      <c r="M6" s="122" t="str">
        <f>"&lt;F."&amp;M5&amp;"&gt;"</f>
        <v>&lt;F.13&gt;</v>
      </c>
      <c r="N6" s="122" t="str">
        <f>"&lt;F."&amp;N5&amp;"&gt;"</f>
        <v>&lt;F.14&gt;</v>
      </c>
      <c r="O6" s="105"/>
      <c r="P6" s="130" t="str">
        <f t="shared" ref="P6:V6" si="0">"&lt;F."&amp;P5&amp;"&gt;"</f>
        <v>&lt;F.16&gt;</v>
      </c>
      <c r="Q6" s="130" t="str">
        <f t="shared" si="0"/>
        <v>&lt;F.17&gt;</v>
      </c>
      <c r="R6" s="130" t="str">
        <f t="shared" si="0"/>
        <v>&lt;F.18&gt;</v>
      </c>
      <c r="S6" s="130" t="str">
        <f t="shared" si="0"/>
        <v>&lt;F.19&gt;</v>
      </c>
      <c r="T6" s="130" t="str">
        <f t="shared" si="0"/>
        <v>&lt;F.20&gt;</v>
      </c>
      <c r="U6" s="130" t="str">
        <f t="shared" si="0"/>
        <v>&lt;F.21&gt;</v>
      </c>
      <c r="V6" s="130" t="str">
        <f t="shared" si="0"/>
        <v>&lt;F.22&gt;</v>
      </c>
      <c r="W6" s="104"/>
      <c r="X6" s="104"/>
    </row>
    <row r="7" spans="1:24">
      <c r="A7" s="104" t="s">
        <v>198</v>
      </c>
      <c r="B7" s="104"/>
      <c r="C7" s="104" t="s">
        <v>199</v>
      </c>
      <c r="D7" s="102"/>
      <c r="E7" s="106"/>
      <c r="F7" s="104"/>
      <c r="G7" s="104"/>
      <c r="H7" s="104"/>
      <c r="I7" s="104"/>
      <c r="J7" s="104"/>
      <c r="K7" s="215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</row>
    <row r="8" spans="1:24">
      <c r="A8" s="123" t="s">
        <v>5</v>
      </c>
      <c r="B8" s="123" t="s">
        <v>7</v>
      </c>
      <c r="C8" s="123" t="s">
        <v>48</v>
      </c>
      <c r="D8" s="123" t="s">
        <v>200</v>
      </c>
      <c r="E8" s="124" t="s">
        <v>201</v>
      </c>
      <c r="F8" s="123" t="s">
        <v>202</v>
      </c>
      <c r="G8" s="123" t="s">
        <v>203</v>
      </c>
      <c r="H8" s="123" t="s">
        <v>204</v>
      </c>
      <c r="I8" s="123" t="s">
        <v>205</v>
      </c>
      <c r="J8" s="123" t="s">
        <v>206</v>
      </c>
      <c r="K8" s="210" t="s">
        <v>287</v>
      </c>
      <c r="L8" s="127" t="s">
        <v>207</v>
      </c>
      <c r="M8" s="129" t="s">
        <v>208</v>
      </c>
      <c r="N8" s="129" t="s">
        <v>209</v>
      </c>
      <c r="O8" s="129" t="s">
        <v>210</v>
      </c>
      <c r="P8" s="125" t="s">
        <v>169</v>
      </c>
      <c r="Q8" s="125" t="s">
        <v>211</v>
      </c>
      <c r="R8" s="125" t="s">
        <v>212</v>
      </c>
      <c r="S8" s="125" t="s">
        <v>213</v>
      </c>
      <c r="T8" s="125" t="s">
        <v>214</v>
      </c>
      <c r="U8" s="125" t="s">
        <v>112</v>
      </c>
      <c r="V8" s="125" t="s">
        <v>215</v>
      </c>
      <c r="W8" s="128" t="s">
        <v>216</v>
      </c>
      <c r="X8" s="125" t="s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"/>
  <sheetViews>
    <sheetView workbookViewId="0">
      <selection activeCell="C7" sqref="C7"/>
    </sheetView>
  </sheetViews>
  <sheetFormatPr defaultRowHeight="14.4"/>
  <cols>
    <col min="1" max="3" width="11.44140625" customWidth="1"/>
    <col min="4" max="4" width="10" customWidth="1"/>
    <col min="5" max="5" width="14.5546875" customWidth="1"/>
    <col min="6" max="6" width="10.109375" customWidth="1"/>
    <col min="7" max="7" width="12" customWidth="1"/>
    <col min="8" max="8" width="9.33203125" customWidth="1"/>
    <col min="9" max="9" width="12" customWidth="1"/>
    <col min="10" max="10" width="13.33203125" customWidth="1"/>
    <col min="11" max="11" width="11.6640625" customWidth="1"/>
    <col min="12" max="12" width="10.109375" customWidth="1"/>
    <col min="13" max="13" width="10.6640625" customWidth="1"/>
    <col min="14" max="14" width="13.88671875" customWidth="1"/>
    <col min="15" max="15" width="11.109375" customWidth="1"/>
    <col min="17" max="19" width="10.6640625" customWidth="1"/>
    <col min="22" max="22" width="10" customWidth="1"/>
    <col min="23" max="23" width="13" customWidth="1"/>
  </cols>
  <sheetData>
    <row r="1" spans="1:23">
      <c r="A1" s="87" t="s">
        <v>217</v>
      </c>
      <c r="B1" s="88"/>
      <c r="C1" s="88"/>
      <c r="D1" s="89"/>
      <c r="E1" s="90"/>
      <c r="F1" s="66" t="s">
        <v>117</v>
      </c>
      <c r="G1" s="83" t="s">
        <v>1</v>
      </c>
      <c r="H1" s="66" t="s">
        <v>2</v>
      </c>
      <c r="I1" s="83" t="s">
        <v>3</v>
      </c>
      <c r="J1" s="67"/>
      <c r="K1" s="67"/>
      <c r="L1" s="91"/>
      <c r="M1" s="91"/>
      <c r="N1" s="91"/>
      <c r="O1" s="91"/>
      <c r="P1" s="91"/>
      <c r="Q1" s="67"/>
      <c r="R1" s="92"/>
      <c r="S1" s="93"/>
      <c r="T1" s="93"/>
      <c r="U1" s="67"/>
      <c r="V1" s="67"/>
      <c r="W1" s="67"/>
    </row>
    <row r="2" spans="1:23">
      <c r="A2" s="68" t="s">
        <v>4</v>
      </c>
      <c r="B2" s="65"/>
      <c r="C2" s="65"/>
      <c r="D2" s="87" t="s">
        <v>5</v>
      </c>
      <c r="E2" s="69"/>
      <c r="F2" s="65"/>
      <c r="G2" s="67"/>
      <c r="H2" s="67"/>
      <c r="I2" s="65"/>
      <c r="J2" s="67"/>
      <c r="K2" s="67"/>
      <c r="L2" s="65"/>
      <c r="M2" s="65"/>
      <c r="N2" s="65"/>
      <c r="O2" s="65"/>
      <c r="P2" s="65"/>
      <c r="Q2" s="67"/>
      <c r="R2" s="65"/>
      <c r="S2" s="63"/>
      <c r="T2" s="63"/>
      <c r="U2" s="67"/>
      <c r="V2" s="67"/>
      <c r="W2" s="67"/>
    </row>
    <row r="3" spans="1:23">
      <c r="A3" s="109"/>
      <c r="B3" s="110"/>
      <c r="C3" s="110"/>
      <c r="D3" s="110"/>
      <c r="E3" s="111"/>
      <c r="F3" s="110"/>
      <c r="G3" s="110"/>
    </row>
    <row r="4" spans="1:23" ht="35.25" customHeight="1">
      <c r="A4" s="247" t="s">
        <v>176</v>
      </c>
      <c r="B4" s="247" t="s">
        <v>177</v>
      </c>
      <c r="C4" s="252" t="s">
        <v>286</v>
      </c>
      <c r="D4" s="247" t="s">
        <v>218</v>
      </c>
      <c r="E4" s="247" t="s">
        <v>219</v>
      </c>
      <c r="F4" s="247" t="s">
        <v>220</v>
      </c>
      <c r="G4" s="247" t="s">
        <v>221</v>
      </c>
      <c r="H4" s="247" t="s">
        <v>222</v>
      </c>
      <c r="I4" s="250" t="s">
        <v>223</v>
      </c>
      <c r="J4" s="251"/>
      <c r="K4" s="247" t="s">
        <v>224</v>
      </c>
      <c r="L4" s="247" t="s">
        <v>225</v>
      </c>
      <c r="M4" s="247" t="s">
        <v>226</v>
      </c>
      <c r="N4" s="247" t="s">
        <v>227</v>
      </c>
      <c r="O4" s="247" t="s">
        <v>228</v>
      </c>
      <c r="P4" s="247" t="s">
        <v>229</v>
      </c>
      <c r="Q4" s="247" t="s">
        <v>45</v>
      </c>
      <c r="R4" s="247" t="s">
        <v>190</v>
      </c>
      <c r="S4" s="247" t="s">
        <v>191</v>
      </c>
      <c r="T4" s="247" t="s">
        <v>192</v>
      </c>
      <c r="U4" s="247" t="s">
        <v>193</v>
      </c>
      <c r="V4" s="254" t="s">
        <v>230</v>
      </c>
      <c r="W4" s="247" t="s">
        <v>195</v>
      </c>
    </row>
    <row r="5" spans="1:23" ht="22.5" customHeight="1">
      <c r="A5" s="248"/>
      <c r="B5" s="249"/>
      <c r="C5" s="253"/>
      <c r="D5" s="248"/>
      <c r="E5" s="248"/>
      <c r="F5" s="248"/>
      <c r="G5" s="248"/>
      <c r="H5" s="248"/>
      <c r="I5" s="108" t="s">
        <v>231</v>
      </c>
      <c r="J5" s="108" t="s">
        <v>232</v>
      </c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54"/>
      <c r="W5" s="248"/>
    </row>
    <row r="6" spans="1:23">
      <c r="A6" s="107">
        <v>1</v>
      </c>
      <c r="B6" s="107">
        <v>2</v>
      </c>
      <c r="C6" s="216">
        <v>3</v>
      </c>
      <c r="D6" s="107">
        <v>4</v>
      </c>
      <c r="E6" s="107">
        <v>5</v>
      </c>
      <c r="F6" s="107">
        <v>6</v>
      </c>
      <c r="G6" s="107">
        <v>7</v>
      </c>
      <c r="H6" s="107">
        <v>8</v>
      </c>
      <c r="I6" s="107">
        <v>9</v>
      </c>
      <c r="J6" s="107">
        <v>10</v>
      </c>
      <c r="K6" s="107">
        <v>11</v>
      </c>
      <c r="L6" s="107">
        <v>12</v>
      </c>
      <c r="M6" s="107">
        <v>13</v>
      </c>
      <c r="N6" s="107">
        <v>14</v>
      </c>
      <c r="O6" s="107">
        <v>15</v>
      </c>
      <c r="P6" s="107">
        <v>16</v>
      </c>
      <c r="Q6" s="107">
        <v>17</v>
      </c>
      <c r="R6" s="107">
        <v>18</v>
      </c>
      <c r="S6" s="107">
        <v>19</v>
      </c>
      <c r="T6" s="107">
        <v>20</v>
      </c>
      <c r="U6" s="107">
        <v>21</v>
      </c>
      <c r="V6" s="107">
        <v>22</v>
      </c>
      <c r="W6" s="107">
        <v>23</v>
      </c>
    </row>
    <row r="7" spans="1:23">
      <c r="A7" s="101" t="s">
        <v>197</v>
      </c>
      <c r="B7" s="101"/>
      <c r="C7" s="115"/>
      <c r="D7" s="112"/>
      <c r="E7" s="108"/>
      <c r="F7" s="108"/>
      <c r="G7" s="108"/>
      <c r="H7" s="108"/>
      <c r="I7" s="108"/>
      <c r="J7" s="113"/>
      <c r="K7" s="112"/>
      <c r="L7" s="108"/>
      <c r="M7" s="113"/>
      <c r="N7" s="114"/>
      <c r="O7" s="108"/>
      <c r="P7" s="114"/>
      <c r="Q7" s="130" t="str">
        <f t="shared" ref="Q7:W7" si="0">"&lt;F."&amp;Q6&amp;"&gt;"</f>
        <v>&lt;F.17&gt;</v>
      </c>
      <c r="R7" s="130" t="str">
        <f t="shared" si="0"/>
        <v>&lt;F.18&gt;</v>
      </c>
      <c r="S7" s="130" t="str">
        <f t="shared" si="0"/>
        <v>&lt;F.19&gt;</v>
      </c>
      <c r="T7" s="130" t="str">
        <f>"&lt;F."&amp;T6&amp;"&gt;"</f>
        <v>&lt;F.20&gt;</v>
      </c>
      <c r="U7" s="130" t="str">
        <f t="shared" si="0"/>
        <v>&lt;F.21&gt;</v>
      </c>
      <c r="V7" s="130" t="str">
        <f t="shared" si="0"/>
        <v>&lt;F.22&gt;</v>
      </c>
      <c r="W7" s="130" t="str">
        <f t="shared" si="0"/>
        <v>&lt;F.23&gt;</v>
      </c>
    </row>
    <row r="8" spans="1:23">
      <c r="A8" s="115" t="s">
        <v>198</v>
      </c>
      <c r="B8" s="115"/>
      <c r="C8" s="217" t="s">
        <v>199</v>
      </c>
      <c r="E8" s="116"/>
      <c r="F8" s="116"/>
      <c r="G8" s="116"/>
      <c r="H8" s="116"/>
      <c r="I8" s="116"/>
      <c r="J8" s="117"/>
      <c r="K8" s="118"/>
      <c r="L8" s="116"/>
      <c r="M8" s="117"/>
      <c r="N8" s="119"/>
      <c r="O8" s="116"/>
      <c r="P8" s="119"/>
      <c r="Q8" s="120"/>
      <c r="R8" s="120"/>
      <c r="S8" s="120"/>
      <c r="T8" s="120"/>
      <c r="U8" s="120"/>
      <c r="V8" s="120"/>
      <c r="W8" s="121"/>
    </row>
    <row r="9" spans="1:23">
      <c r="A9" s="123" t="s">
        <v>5</v>
      </c>
      <c r="B9" s="123" t="s">
        <v>7</v>
      </c>
      <c r="C9" s="218" t="s">
        <v>287</v>
      </c>
      <c r="D9" s="112" t="s">
        <v>233</v>
      </c>
      <c r="E9" s="124" t="s">
        <v>234</v>
      </c>
      <c r="F9" s="124" t="s">
        <v>235</v>
      </c>
      <c r="G9" s="124" t="s">
        <v>236</v>
      </c>
      <c r="H9" s="124" t="s">
        <v>237</v>
      </c>
      <c r="I9" s="123" t="s">
        <v>203</v>
      </c>
      <c r="J9" s="123" t="s">
        <v>202</v>
      </c>
      <c r="K9" s="112" t="s">
        <v>238</v>
      </c>
      <c r="L9" s="125" t="s">
        <v>239</v>
      </c>
      <c r="M9" s="124" t="s">
        <v>240</v>
      </c>
      <c r="N9" s="126" t="s">
        <v>241</v>
      </c>
      <c r="O9" s="124" t="s">
        <v>242</v>
      </c>
      <c r="P9" s="126" t="s">
        <v>243</v>
      </c>
      <c r="Q9" s="125" t="s">
        <v>169</v>
      </c>
      <c r="R9" s="125" t="s">
        <v>211</v>
      </c>
      <c r="S9" s="125" t="s">
        <v>212</v>
      </c>
      <c r="T9" s="125" t="s">
        <v>213</v>
      </c>
      <c r="U9" s="125" t="s">
        <v>244</v>
      </c>
      <c r="V9" s="125" t="s">
        <v>112</v>
      </c>
      <c r="W9" s="125" t="s">
        <v>215</v>
      </c>
    </row>
  </sheetData>
  <mergeCells count="22">
    <mergeCell ref="U4:U5"/>
    <mergeCell ref="V4:V5"/>
    <mergeCell ref="W4:W5"/>
    <mergeCell ref="O4:O5"/>
    <mergeCell ref="P4:P5"/>
    <mergeCell ref="Q4:Q5"/>
    <mergeCell ref="R4:R5"/>
    <mergeCell ref="S4:S5"/>
    <mergeCell ref="T4:T5"/>
    <mergeCell ref="N4:N5"/>
    <mergeCell ref="A4:A5"/>
    <mergeCell ref="B4:B5"/>
    <mergeCell ref="D4:D5"/>
    <mergeCell ref="E4:E5"/>
    <mergeCell ref="F4:F5"/>
    <mergeCell ref="G4:G5"/>
    <mergeCell ref="H4:H5"/>
    <mergeCell ref="I4:J4"/>
    <mergeCell ref="K4:K5"/>
    <mergeCell ref="L4:L5"/>
    <mergeCell ref="M4:M5"/>
    <mergeCell ref="C4:C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6"/>
  <sheetViews>
    <sheetView topLeftCell="A7" workbookViewId="0">
      <selection activeCell="B11" sqref="B11"/>
    </sheetView>
  </sheetViews>
  <sheetFormatPr defaultRowHeight="14.4"/>
  <cols>
    <col min="1" max="2" width="11.44140625" customWidth="1"/>
    <col min="3" max="3" width="17.109375" customWidth="1"/>
    <col min="4" max="4" width="14.6640625" customWidth="1"/>
    <col min="5" max="5" width="15.6640625" customWidth="1"/>
    <col min="6" max="6" width="14.44140625" customWidth="1"/>
    <col min="7" max="7" width="15.33203125" customWidth="1"/>
    <col min="8" max="8" width="9.33203125" customWidth="1"/>
  </cols>
  <sheetData>
    <row r="1" spans="1:60">
      <c r="A1" s="169" t="s">
        <v>292</v>
      </c>
      <c r="B1" s="169"/>
      <c r="C1" s="168"/>
      <c r="D1" s="168"/>
      <c r="E1" s="171" t="s">
        <v>1</v>
      </c>
      <c r="F1" s="172" t="s">
        <v>2</v>
      </c>
      <c r="G1" s="171" t="s">
        <v>3</v>
      </c>
      <c r="H1" s="173"/>
      <c r="I1" s="174"/>
      <c r="J1" s="175"/>
      <c r="K1" s="176"/>
      <c r="L1" s="175"/>
      <c r="M1" s="177"/>
      <c r="N1" s="177"/>
      <c r="O1" s="176"/>
      <c r="P1" s="176"/>
      <c r="Q1" s="176"/>
      <c r="R1" s="176"/>
      <c r="S1" s="178"/>
      <c r="T1" s="178"/>
      <c r="U1" s="176"/>
      <c r="V1" s="176"/>
      <c r="W1" s="178"/>
      <c r="X1" s="178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</row>
    <row r="2" spans="1:60">
      <c r="A2" s="168" t="s">
        <v>4</v>
      </c>
      <c r="B2" s="168"/>
      <c r="C2" s="189" t="s">
        <v>5</v>
      </c>
      <c r="D2" s="176"/>
      <c r="E2" s="168"/>
      <c r="F2" s="168"/>
      <c r="G2" s="168"/>
      <c r="H2" s="168"/>
      <c r="I2" s="168"/>
      <c r="J2" s="179"/>
      <c r="K2" s="176"/>
      <c r="L2" s="180"/>
      <c r="M2" s="178"/>
      <c r="N2" s="178"/>
      <c r="O2" s="176"/>
      <c r="P2" s="176"/>
      <c r="Q2" s="176"/>
      <c r="R2" s="176"/>
      <c r="S2" s="178"/>
      <c r="T2" s="178"/>
      <c r="U2" s="176"/>
      <c r="V2" s="176"/>
      <c r="W2" s="178"/>
      <c r="X2" s="178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</row>
    <row r="3" spans="1:60">
      <c r="A3" s="173"/>
      <c r="B3" s="173"/>
      <c r="C3" s="185"/>
      <c r="D3" s="173"/>
      <c r="E3" s="173"/>
      <c r="F3" s="185"/>
      <c r="G3" s="173"/>
      <c r="H3" s="173"/>
      <c r="I3" s="170"/>
      <c r="J3" s="181"/>
      <c r="K3" s="181"/>
      <c r="L3" s="17"/>
      <c r="M3" s="173"/>
      <c r="N3" s="173"/>
      <c r="O3" s="181"/>
      <c r="P3" s="170"/>
      <c r="Q3" s="181"/>
      <c r="R3" s="170"/>
      <c r="S3" s="181"/>
      <c r="T3" s="170"/>
      <c r="U3" s="170"/>
      <c r="V3" s="170"/>
      <c r="W3" s="173"/>
      <c r="X3" s="173"/>
      <c r="Y3" s="173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3"/>
      <c r="AQ3" s="173"/>
      <c r="AR3" s="173"/>
      <c r="AS3" s="170"/>
      <c r="AT3" s="170"/>
      <c r="AU3" s="170"/>
      <c r="AV3" s="170"/>
      <c r="AW3" s="170"/>
      <c r="AX3" s="173"/>
      <c r="AY3" s="170"/>
      <c r="AZ3" s="173"/>
      <c r="BA3" s="170"/>
      <c r="BB3" s="173"/>
      <c r="BC3" s="170"/>
      <c r="BD3" s="173"/>
      <c r="BE3" s="170"/>
      <c r="BF3" s="170"/>
      <c r="BG3" s="173"/>
      <c r="BH3" s="170"/>
    </row>
    <row r="4" spans="1:60" ht="30.6">
      <c r="A4" s="182" t="s">
        <v>293</v>
      </c>
      <c r="B4" s="182" t="s">
        <v>294</v>
      </c>
      <c r="C4" s="182" t="s">
        <v>295</v>
      </c>
      <c r="D4" s="182" t="s">
        <v>296</v>
      </c>
      <c r="E4" s="182" t="s">
        <v>297</v>
      </c>
      <c r="F4" s="182" t="s">
        <v>298</v>
      </c>
      <c r="G4" s="182" t="s">
        <v>299</v>
      </c>
      <c r="H4" s="182" t="s">
        <v>300</v>
      </c>
      <c r="I4" s="173"/>
      <c r="J4" s="174"/>
      <c r="K4" s="170"/>
      <c r="L4" s="173"/>
      <c r="M4" s="174"/>
      <c r="N4" s="170"/>
      <c r="O4" s="181"/>
      <c r="P4" s="17"/>
      <c r="Q4" s="170"/>
      <c r="R4" s="173"/>
      <c r="S4" s="181"/>
      <c r="T4" s="173"/>
      <c r="U4" s="170"/>
      <c r="V4" s="170"/>
      <c r="W4" s="170"/>
      <c r="X4" s="170"/>
      <c r="Y4" s="170"/>
      <c r="Z4" s="181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3"/>
      <c r="AT4" s="170"/>
      <c r="AU4" s="170"/>
      <c r="AV4" s="170"/>
      <c r="AW4" s="170"/>
      <c r="AX4" s="170"/>
      <c r="AY4" s="170"/>
      <c r="AZ4" s="170"/>
      <c r="BA4" s="173"/>
      <c r="BB4" s="173"/>
      <c r="BC4" s="173"/>
      <c r="BD4" s="170"/>
      <c r="BE4" s="170"/>
      <c r="BF4" s="170"/>
      <c r="BG4" s="173"/>
      <c r="BH4" s="173"/>
    </row>
    <row r="5" spans="1:60">
      <c r="A5" s="182">
        <v>1</v>
      </c>
      <c r="B5" s="182">
        <v>2</v>
      </c>
      <c r="C5" s="182">
        <v>3</v>
      </c>
      <c r="D5" s="182">
        <v>4</v>
      </c>
      <c r="E5" s="182">
        <v>5</v>
      </c>
      <c r="F5" s="182">
        <v>6</v>
      </c>
      <c r="G5" s="182">
        <v>7</v>
      </c>
      <c r="H5" s="182">
        <v>8</v>
      </c>
      <c r="I5" s="173"/>
      <c r="J5" s="174"/>
      <c r="K5" s="170"/>
      <c r="L5" s="173"/>
      <c r="M5" s="174"/>
      <c r="N5" s="170"/>
      <c r="O5" s="181"/>
      <c r="P5" s="17"/>
      <c r="Q5" s="170"/>
      <c r="R5" s="173"/>
      <c r="S5" s="181"/>
      <c r="T5" s="173"/>
      <c r="U5" s="170"/>
      <c r="V5" s="170"/>
      <c r="W5" s="170"/>
      <c r="X5" s="170"/>
      <c r="Y5" s="170"/>
      <c r="Z5" s="181"/>
      <c r="AA5" s="170"/>
      <c r="AB5" s="170"/>
      <c r="AC5" s="170"/>
      <c r="AD5" s="170"/>
      <c r="AE5" s="170"/>
      <c r="AF5" s="170"/>
      <c r="AG5" s="170"/>
      <c r="AH5" s="170"/>
      <c r="AI5" s="170"/>
      <c r="AJ5" s="170"/>
      <c r="AK5" s="170"/>
      <c r="AL5" s="170"/>
      <c r="AM5" s="170"/>
      <c r="AN5" s="170"/>
      <c r="AO5" s="170"/>
      <c r="AP5" s="170"/>
      <c r="AQ5" s="170"/>
      <c r="AR5" s="170"/>
      <c r="AS5" s="173"/>
      <c r="AT5" s="170"/>
      <c r="AU5" s="170"/>
      <c r="AV5" s="170"/>
      <c r="AW5" s="170"/>
      <c r="AX5" s="170"/>
      <c r="AY5" s="170"/>
      <c r="AZ5" s="170"/>
      <c r="BA5" s="173"/>
      <c r="BB5" s="173"/>
      <c r="BC5" s="173"/>
      <c r="BD5" s="170"/>
      <c r="BE5" s="170"/>
      <c r="BF5" s="170"/>
      <c r="BG5" s="173"/>
      <c r="BH5" s="173"/>
    </row>
    <row r="6" spans="1:60">
      <c r="A6" s="202" t="s">
        <v>301</v>
      </c>
      <c r="B6" s="187" t="s">
        <v>302</v>
      </c>
      <c r="C6" s="188" t="s">
        <v>303</v>
      </c>
      <c r="D6" s="186" t="s">
        <v>304</v>
      </c>
      <c r="E6" s="186" t="s">
        <v>305</v>
      </c>
      <c r="F6" s="186" t="s">
        <v>306</v>
      </c>
      <c r="G6" s="186" t="s">
        <v>307</v>
      </c>
      <c r="H6" s="186" t="s">
        <v>308</v>
      </c>
      <c r="I6" s="14"/>
      <c r="J6" s="183"/>
      <c r="K6" s="14"/>
      <c r="L6" s="14"/>
      <c r="M6" s="183"/>
      <c r="N6" s="184"/>
      <c r="O6" s="184"/>
      <c r="P6" s="9"/>
      <c r="Q6" s="14"/>
      <c r="R6" s="14"/>
      <c r="S6" s="184"/>
      <c r="T6" s="14"/>
      <c r="U6" s="184"/>
      <c r="V6" s="184"/>
      <c r="W6" s="184"/>
      <c r="X6" s="184"/>
      <c r="Y6" s="184"/>
      <c r="Z6" s="18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"/>
  <sheetViews>
    <sheetView workbookViewId="0">
      <selection activeCell="E6" sqref="E6"/>
    </sheetView>
  </sheetViews>
  <sheetFormatPr defaultRowHeight="14.4"/>
  <cols>
    <col min="1" max="1" width="10.33203125" customWidth="1"/>
    <col min="2" max="2" width="11.44140625" customWidth="1"/>
    <col min="3" max="3" width="25.5546875" customWidth="1"/>
    <col min="4" max="4" width="14.109375" customWidth="1"/>
    <col min="5" max="5" width="12" customWidth="1"/>
    <col min="6" max="6" width="10.33203125" customWidth="1"/>
    <col min="7" max="7" width="19.33203125" customWidth="1"/>
    <col min="8" max="8" width="15" customWidth="1"/>
  </cols>
  <sheetData>
    <row r="1" spans="1:8">
      <c r="A1" s="193" t="s">
        <v>315</v>
      </c>
      <c r="B1" s="193"/>
      <c r="C1" s="193"/>
      <c r="D1" s="192"/>
      <c r="E1" s="194" t="s">
        <v>1</v>
      </c>
      <c r="F1" s="195" t="s">
        <v>2</v>
      </c>
      <c r="G1" s="194" t="s">
        <v>3</v>
      </c>
      <c r="H1" s="190"/>
    </row>
    <row r="2" spans="1:8">
      <c r="A2" s="192" t="s">
        <v>4</v>
      </c>
      <c r="B2" s="193" t="s">
        <v>5</v>
      </c>
      <c r="C2" s="193"/>
      <c r="D2" s="192"/>
      <c r="E2" s="193"/>
      <c r="F2" s="192"/>
      <c r="G2" s="192"/>
      <c r="H2" s="192"/>
    </row>
    <row r="3" spans="1:8">
      <c r="A3" s="190"/>
      <c r="B3" s="190"/>
      <c r="C3" s="190"/>
      <c r="D3" s="190"/>
      <c r="E3" s="190"/>
      <c r="F3" s="190"/>
      <c r="G3" s="190"/>
      <c r="H3" s="190"/>
    </row>
    <row r="4" spans="1:8" ht="26.4">
      <c r="A4" s="191" t="s">
        <v>316</v>
      </c>
      <c r="B4" s="191" t="s">
        <v>317</v>
      </c>
      <c r="C4" s="191" t="s">
        <v>318</v>
      </c>
      <c r="D4" s="191" t="s">
        <v>319</v>
      </c>
      <c r="E4" s="191" t="s">
        <v>320</v>
      </c>
      <c r="F4" s="191" t="s">
        <v>321</v>
      </c>
      <c r="G4" s="191" t="s">
        <v>322</v>
      </c>
      <c r="H4" s="191" t="s">
        <v>323</v>
      </c>
    </row>
    <row r="5" spans="1:8">
      <c r="A5" s="191">
        <v>1</v>
      </c>
      <c r="B5" s="191">
        <v>2</v>
      </c>
      <c r="C5" s="191">
        <v>3</v>
      </c>
      <c r="D5" s="191">
        <v>4</v>
      </c>
      <c r="E5" s="191">
        <v>5</v>
      </c>
      <c r="F5" s="191">
        <v>6</v>
      </c>
      <c r="G5" s="191">
        <v>7</v>
      </c>
      <c r="H5" s="191">
        <v>8</v>
      </c>
    </row>
    <row r="6" spans="1:8">
      <c r="A6" s="203" t="s">
        <v>324</v>
      </c>
      <c r="B6" s="196" t="s">
        <v>325</v>
      </c>
      <c r="C6" s="203" t="s">
        <v>326</v>
      </c>
      <c r="D6" s="197" t="s">
        <v>327</v>
      </c>
      <c r="E6" s="203" t="s">
        <v>328</v>
      </c>
      <c r="F6" s="198" t="s">
        <v>329</v>
      </c>
      <c r="G6" s="203" t="s">
        <v>330</v>
      </c>
      <c r="H6" s="197" t="s">
        <v>331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351</vt:i4>
      </vt:variant>
    </vt:vector>
  </HeadingPairs>
  <TitlesOfParts>
    <vt:vector size="361" baseType="lpstr">
      <vt:lpstr>Справка по расчету НДФЛ</vt:lpstr>
      <vt:lpstr>Реализация</vt:lpstr>
      <vt:lpstr>РЕПО</vt:lpstr>
      <vt:lpstr>Короткие позиции</vt:lpstr>
      <vt:lpstr>Инвестиционный вычет</vt:lpstr>
      <vt:lpstr>МатВыгода</vt:lpstr>
      <vt:lpstr>ПИ_бирж.</vt:lpstr>
      <vt:lpstr>ПИ_внебирж.</vt:lpstr>
      <vt:lpstr>Векселя</vt:lpstr>
      <vt:lpstr>Протокол</vt:lpstr>
      <vt:lpstr>N1_BaseBill</vt:lpstr>
      <vt:lpstr>N1_BaseMaterial</vt:lpstr>
      <vt:lpstr>N1_Client</vt:lpstr>
      <vt:lpstr>N1_ClientStatus</vt:lpstr>
      <vt:lpstr>N1_ComDepo</vt:lpstr>
      <vt:lpstr>N1_CoupRub</vt:lpstr>
      <vt:lpstr>N1_Dbeg</vt:lpstr>
      <vt:lpstr>N1_Dend</vt:lpstr>
      <vt:lpstr>N1_DepoCoupRub</vt:lpstr>
      <vt:lpstr>N1_DepoMinusG_618</vt:lpstr>
      <vt:lpstr>N1_DepoTaxBase_13</vt:lpstr>
      <vt:lpstr>N1_DepoTaxBase_15</vt:lpstr>
      <vt:lpstr>N1_DepoTaxBase_618</vt:lpstr>
      <vt:lpstr>N1_DepoTaxBaseAll</vt:lpstr>
      <vt:lpstr>N1_DepoTaxDueNow1</vt:lpstr>
      <vt:lpstr>N1_DepoTaxDueNow1_15</vt:lpstr>
      <vt:lpstr>N1_DepoTaxDueNow1_all</vt:lpstr>
      <vt:lpstr>N1_DepoTaxDueYear</vt:lpstr>
      <vt:lpstr>N1_DepoTaxDueYear_13</vt:lpstr>
      <vt:lpstr>N1_DepoTaxDueYear_15</vt:lpstr>
      <vt:lpstr>N1_DepoTaxPaid</vt:lpstr>
      <vt:lpstr>N1_DepoTaxPaid_15</vt:lpstr>
      <vt:lpstr>N1_DepoTaxPaid_all</vt:lpstr>
      <vt:lpstr>N1_DerivTaxRub</vt:lpstr>
      <vt:lpstr>N1_DlastNOB</vt:lpstr>
      <vt:lpstr>N1_Dsys</vt:lpstr>
      <vt:lpstr>N1_Footer</vt:lpstr>
      <vt:lpstr>N1_MinusG_517</vt:lpstr>
      <vt:lpstr>N1_MinusG_618</vt:lpstr>
      <vt:lpstr>N1_MinusG_619</vt:lpstr>
      <vt:lpstr>N1_NoRepData</vt:lpstr>
      <vt:lpstr>N1_OnbCoupRub</vt:lpstr>
      <vt:lpstr>N1_OnbTaxBase_13</vt:lpstr>
      <vt:lpstr>N1_OnbTaxBase_15</vt:lpstr>
      <vt:lpstr>N1_OnbTaxBase_18</vt:lpstr>
      <vt:lpstr>N1_OnbTaxBase_20</vt:lpstr>
      <vt:lpstr>N1_OnbTaxBase_22</vt:lpstr>
      <vt:lpstr>N1_OnbTaxBaseAll</vt:lpstr>
      <vt:lpstr>N1_OnbTaxDueNow1</vt:lpstr>
      <vt:lpstr>N1_OnbTaxDueNow1_15</vt:lpstr>
      <vt:lpstr>N1_OnbTaxDueNow1_18</vt:lpstr>
      <vt:lpstr>N1_OnbTaxDueNow1_20</vt:lpstr>
      <vt:lpstr>N1_OnbTaxDueNow1_22</vt:lpstr>
      <vt:lpstr>N1_OnbTaxDueNow1_all</vt:lpstr>
      <vt:lpstr>N1_OnbTaxDueYear</vt:lpstr>
      <vt:lpstr>N1_OnbTaxDueYear_13</vt:lpstr>
      <vt:lpstr>N1_OnbTaxDueYear_15</vt:lpstr>
      <vt:lpstr>N1_OnbTaxDueYear_18</vt:lpstr>
      <vt:lpstr>N1_OnbTaxDueYear_20</vt:lpstr>
      <vt:lpstr>N1_OnbTaxDueYear_22</vt:lpstr>
      <vt:lpstr>N1_OnbTaxPaid</vt:lpstr>
      <vt:lpstr>N1_OnbTaxPaid_15</vt:lpstr>
      <vt:lpstr>N1_OnbTaxPaid_18</vt:lpstr>
      <vt:lpstr>N1_OnbTaxPaid_20</vt:lpstr>
      <vt:lpstr>N1_OnbTaxPaid_22</vt:lpstr>
      <vt:lpstr>N1_OnbTaxPaid_all</vt:lpstr>
      <vt:lpstr>N1_OtherIncome</vt:lpstr>
      <vt:lpstr>N1_PreliminaryCalc</vt:lpstr>
      <vt:lpstr>N1_RepoFactRub</vt:lpstr>
      <vt:lpstr>N1_ReportBody</vt:lpstr>
      <vt:lpstr>N1_ReportHeader</vt:lpstr>
      <vt:lpstr>N1_ReportType</vt:lpstr>
      <vt:lpstr>N1_RepoTaxRach</vt:lpstr>
      <vt:lpstr>N1_RepoTaxRub</vt:lpstr>
      <vt:lpstr>N1_SNOB_Line</vt:lpstr>
      <vt:lpstr>N1_SNOB1_Line</vt:lpstr>
      <vt:lpstr>N1_SNOB2_Line</vt:lpstr>
      <vt:lpstr>N1_SNOBAmount</vt:lpstr>
      <vt:lpstr>N1_SNOBAmount1</vt:lpstr>
      <vt:lpstr>N1_SNOBAmount2</vt:lpstr>
      <vt:lpstr>N1_SNOBType</vt:lpstr>
      <vt:lpstr>N1_SNOBType1</vt:lpstr>
      <vt:lpstr>N1_SNOBType2</vt:lpstr>
      <vt:lpstr>N1_TaxBase_13</vt:lpstr>
      <vt:lpstr>N1_TaxBase_15</vt:lpstr>
      <vt:lpstr>N1_TaxBase_618</vt:lpstr>
      <vt:lpstr>N1_TaxBaseAll</vt:lpstr>
      <vt:lpstr>N1_TaxDueNow1</vt:lpstr>
      <vt:lpstr>N1_TaxDueNow1_15</vt:lpstr>
      <vt:lpstr>N1_TaxDueNow1_all</vt:lpstr>
      <vt:lpstr>N1_TaxDueYear</vt:lpstr>
      <vt:lpstr>N1_TaxDueYear_13</vt:lpstr>
      <vt:lpstr>N1_TaxDueYear_15</vt:lpstr>
      <vt:lpstr>N1_TaxFR_Lost</vt:lpstr>
      <vt:lpstr>N1_TaxFR_market</vt:lpstr>
      <vt:lpstr>N1_TaxFR_Open</vt:lpstr>
      <vt:lpstr>N1_TaxFR_OTC</vt:lpstr>
      <vt:lpstr>N1_TaxFR_total</vt:lpstr>
      <vt:lpstr>N1_TaxPaid</vt:lpstr>
      <vt:lpstr>N1_TaxPaid_15</vt:lpstr>
      <vt:lpstr>N1_TaxPaid_all</vt:lpstr>
      <vt:lpstr>N10_Client</vt:lpstr>
      <vt:lpstr>N10_Dbeg</vt:lpstr>
      <vt:lpstr>N10_Dend</vt:lpstr>
      <vt:lpstr>N10_ExpenseCode</vt:lpstr>
      <vt:lpstr>N10_ExpenseName</vt:lpstr>
      <vt:lpstr>N10_ExpenseNDR</vt:lpstr>
      <vt:lpstr>N10_ExpenseSum</vt:lpstr>
      <vt:lpstr>N10_IncomeCode</vt:lpstr>
      <vt:lpstr>N10_IncomeName</vt:lpstr>
      <vt:lpstr>N10_IncomeNDR</vt:lpstr>
      <vt:lpstr>N10_IncomeSum</vt:lpstr>
      <vt:lpstr>N10_MainTable</vt:lpstr>
      <vt:lpstr>N10_ReportHeader</vt:lpstr>
      <vt:lpstr>N2_AA</vt:lpstr>
      <vt:lpstr>N2_AllBrub</vt:lpstr>
      <vt:lpstr>N2_AllSrub</vt:lpstr>
      <vt:lpstr>N2_Client</vt:lpstr>
      <vt:lpstr>N2_CodeB</vt:lpstr>
      <vt:lpstr>N2_CodeS</vt:lpstr>
      <vt:lpstr>N2_ComB</vt:lpstr>
      <vt:lpstr>N2_ComBankB</vt:lpstr>
      <vt:lpstr>N2_ComBankS</vt:lpstr>
      <vt:lpstr>N2_ComExcB</vt:lpstr>
      <vt:lpstr>N2_ComExcS</vt:lpstr>
      <vt:lpstr>N2_ComS</vt:lpstr>
      <vt:lpstr>N2_ContractB</vt:lpstr>
      <vt:lpstr>N2_ContractS</vt:lpstr>
      <vt:lpstr>N2_Dbeg</vt:lpstr>
      <vt:lpstr>N2_Dend</vt:lpstr>
      <vt:lpstr>N2_DifB</vt:lpstr>
      <vt:lpstr>N2_DifS</vt:lpstr>
      <vt:lpstr>N2_DPB</vt:lpstr>
      <vt:lpstr>N2_DPS</vt:lpstr>
      <vt:lpstr>N2_DZB</vt:lpstr>
      <vt:lpstr>N2_DZS</vt:lpstr>
      <vt:lpstr>N2_MainTable</vt:lpstr>
      <vt:lpstr>N2_MaterialB</vt:lpstr>
      <vt:lpstr>N2_PrBrub</vt:lpstr>
      <vt:lpstr>N2_PrSrub</vt:lpstr>
      <vt:lpstr>N2_Qnty</vt:lpstr>
      <vt:lpstr>N2_ReportHeader</vt:lpstr>
      <vt:lpstr>N2_SecCode</vt:lpstr>
      <vt:lpstr>N2_SecName</vt:lpstr>
      <vt:lpstr>N2_SecType</vt:lpstr>
      <vt:lpstr>N2_TableHeader</vt:lpstr>
      <vt:lpstr>N2_TaxFRlink</vt:lpstr>
      <vt:lpstr>N2_TaxMaterialB</vt:lpstr>
      <vt:lpstr>N2_TaxTags</vt:lpstr>
      <vt:lpstr>N3_AmortCalcVn</vt:lpstr>
      <vt:lpstr>N3_Client</vt:lpstr>
      <vt:lpstr>N3_CodeR</vt:lpstr>
      <vt:lpstr>N3_Com</vt:lpstr>
      <vt:lpstr>N3_ContractS</vt:lpstr>
      <vt:lpstr>N3_CoupCalcVn</vt:lpstr>
      <vt:lpstr>N3_Dbeg</vt:lpstr>
      <vt:lpstr>N3_DD1</vt:lpstr>
      <vt:lpstr>N3_DD2</vt:lpstr>
      <vt:lpstr>N3_Deal2vp</vt:lpstr>
      <vt:lpstr>N3_Dend</vt:lpstr>
      <vt:lpstr>N3_Dir1</vt:lpstr>
      <vt:lpstr>N3_Dir2</vt:lpstr>
      <vt:lpstr>N3_DohRub</vt:lpstr>
      <vt:lpstr>N3_DP1</vt:lpstr>
      <vt:lpstr>N3_DP2</vt:lpstr>
      <vt:lpstr>N3_DZ</vt:lpstr>
      <vt:lpstr>N3_GenRub</vt:lpstr>
      <vt:lpstr>N3_MainTable</vt:lpstr>
      <vt:lpstr>N3_Qnty</vt:lpstr>
      <vt:lpstr>N3_RashRub</vt:lpstr>
      <vt:lpstr>N3_Rate</vt:lpstr>
      <vt:lpstr>N3_ReportHeader</vt:lpstr>
      <vt:lpstr>N3_SecCode</vt:lpstr>
      <vt:lpstr>N3_SecName</vt:lpstr>
      <vt:lpstr>N3_TableHeader</vt:lpstr>
      <vt:lpstr>N3_TaxPashRub</vt:lpstr>
      <vt:lpstr>N3_Tot1vp</vt:lpstr>
      <vt:lpstr>N3_Tot2vp</vt:lpstr>
      <vt:lpstr>N4_AA</vt:lpstr>
      <vt:lpstr>N4_AllBrub</vt:lpstr>
      <vt:lpstr>N4_AllSrub</vt:lpstr>
      <vt:lpstr>N4_Client</vt:lpstr>
      <vt:lpstr>N4_CodeB</vt:lpstr>
      <vt:lpstr>N4_CodeS</vt:lpstr>
      <vt:lpstr>N4_ComB</vt:lpstr>
      <vt:lpstr>N4_ComBankB</vt:lpstr>
      <vt:lpstr>N4_ComBankS</vt:lpstr>
      <vt:lpstr>N4_ComExcB</vt:lpstr>
      <vt:lpstr>N4_ComExcS</vt:lpstr>
      <vt:lpstr>N4_ComS</vt:lpstr>
      <vt:lpstr>N4_ContractB</vt:lpstr>
      <vt:lpstr>N4_ContractS</vt:lpstr>
      <vt:lpstr>N4_Dbeg</vt:lpstr>
      <vt:lpstr>N4_Dend</vt:lpstr>
      <vt:lpstr>N4_DifB</vt:lpstr>
      <vt:lpstr>N4_DifS</vt:lpstr>
      <vt:lpstr>N4_DPB</vt:lpstr>
      <vt:lpstr>N4_DPS</vt:lpstr>
      <vt:lpstr>N4_DZB</vt:lpstr>
      <vt:lpstr>N4_DZS</vt:lpstr>
      <vt:lpstr>N4_MainTable</vt:lpstr>
      <vt:lpstr>N4_MaterialB</vt:lpstr>
      <vt:lpstr>N4_PrBrub</vt:lpstr>
      <vt:lpstr>N4_PrSrub</vt:lpstr>
      <vt:lpstr>N4_Qnty</vt:lpstr>
      <vt:lpstr>N4_ReportHeader</vt:lpstr>
      <vt:lpstr>N4_SecCode</vt:lpstr>
      <vt:lpstr>N4_SecName</vt:lpstr>
      <vt:lpstr>N4_SecType</vt:lpstr>
      <vt:lpstr>N4_TableHeader</vt:lpstr>
      <vt:lpstr>N4_TaxFRlink</vt:lpstr>
      <vt:lpstr>N4_TaxMaterialB</vt:lpstr>
      <vt:lpstr>N4_TaxTags</vt:lpstr>
      <vt:lpstr>N5_AllBrub</vt:lpstr>
      <vt:lpstr>N5_AllSrub</vt:lpstr>
      <vt:lpstr>N5_Client</vt:lpstr>
      <vt:lpstr>N5_CodeB</vt:lpstr>
      <vt:lpstr>N5_CodeS</vt:lpstr>
      <vt:lpstr>N5_ComB</vt:lpstr>
      <vt:lpstr>N5_ComS</vt:lpstr>
      <vt:lpstr>N5_ContractB</vt:lpstr>
      <vt:lpstr>N5_ContractS</vt:lpstr>
      <vt:lpstr>N5_Dbeg</vt:lpstr>
      <vt:lpstr>N5_Dend</vt:lpstr>
      <vt:lpstr>N5_DPB</vt:lpstr>
      <vt:lpstr>N5_DPS</vt:lpstr>
      <vt:lpstr>N5_DZB</vt:lpstr>
      <vt:lpstr>N5_DZS</vt:lpstr>
      <vt:lpstr>N5_FR_Sec_3Y</vt:lpstr>
      <vt:lpstr>N5_Index_618</vt:lpstr>
      <vt:lpstr>N5_Limit_618</vt:lpstr>
      <vt:lpstr>N5_MainTable</vt:lpstr>
      <vt:lpstr>N5_MinusG_618</vt:lpstr>
      <vt:lpstr>N5_Plusi</vt:lpstr>
      <vt:lpstr>N5_PrBrub</vt:lpstr>
      <vt:lpstr>N5_PrSrub</vt:lpstr>
      <vt:lpstr>N5_Qnty</vt:lpstr>
      <vt:lpstr>N5_ReportHeader</vt:lpstr>
      <vt:lpstr>N5_SecCode</vt:lpstr>
      <vt:lpstr>N5_SecName</vt:lpstr>
      <vt:lpstr>N5_SumFR</vt:lpstr>
      <vt:lpstr>N5_TableHeader</vt:lpstr>
      <vt:lpstr>N5_TaxTagsYears</vt:lpstr>
      <vt:lpstr>N6_bMrktB</vt:lpstr>
      <vt:lpstr>N6_Brub</vt:lpstr>
      <vt:lpstr>N6_Client</vt:lpstr>
      <vt:lpstr>N6_CodeB</vt:lpstr>
      <vt:lpstr>N6_ComB</vt:lpstr>
      <vt:lpstr>N6_ContB</vt:lpstr>
      <vt:lpstr>N6_ContractB</vt:lpstr>
      <vt:lpstr>N6_CrBD</vt:lpstr>
      <vt:lpstr>N6_Dbeg</vt:lpstr>
      <vt:lpstr>N6_DDB</vt:lpstr>
      <vt:lpstr>N6_Dend</vt:lpstr>
      <vt:lpstr>N6_DMrktB</vt:lpstr>
      <vt:lpstr>N6_DPB</vt:lpstr>
      <vt:lpstr>N6_DZB</vt:lpstr>
      <vt:lpstr>N6_KZB</vt:lpstr>
      <vt:lpstr>N6_MainBvp</vt:lpstr>
      <vt:lpstr>N6_MainTable</vt:lpstr>
      <vt:lpstr>N6_MrktB</vt:lpstr>
      <vt:lpstr>N6_NomB</vt:lpstr>
      <vt:lpstr>N6_PrBvp</vt:lpstr>
      <vt:lpstr>N6_PriceMrktB</vt:lpstr>
      <vt:lpstr>N6_Qnty</vt:lpstr>
      <vt:lpstr>N6_ReportHeader</vt:lpstr>
      <vt:lpstr>N6_SecCode</vt:lpstr>
      <vt:lpstr>N6_SecName</vt:lpstr>
      <vt:lpstr>N6_SecType</vt:lpstr>
      <vt:lpstr>N6_TaxRate</vt:lpstr>
      <vt:lpstr>N6_ValB</vt:lpstr>
      <vt:lpstr>N6_VN</vt:lpstr>
      <vt:lpstr>N6_VpB</vt:lpstr>
      <vt:lpstr>N7_BaseCode</vt:lpstr>
      <vt:lpstr>N7_BaseName</vt:lpstr>
      <vt:lpstr>N7_BaseType</vt:lpstr>
      <vt:lpstr>N7_bMarket</vt:lpstr>
      <vt:lpstr>N7_Client</vt:lpstr>
      <vt:lpstr>N7_Client1</vt:lpstr>
      <vt:lpstr>N7_ClientStatus</vt:lpstr>
      <vt:lpstr>N7_Com</vt:lpstr>
      <vt:lpstr>N7_ContractS</vt:lpstr>
      <vt:lpstr>N7_Dbeg</vt:lpstr>
      <vt:lpstr>N7_Dend</vt:lpstr>
      <vt:lpstr>N7_Dpos</vt:lpstr>
      <vt:lpstr>N7_F12</vt:lpstr>
      <vt:lpstr>N7_F13</vt:lpstr>
      <vt:lpstr>N7_F15</vt:lpstr>
      <vt:lpstr>N7_F16</vt:lpstr>
      <vt:lpstr>N7_F17</vt:lpstr>
      <vt:lpstr>N7_F18</vt:lpstr>
      <vt:lpstr>N7_F19</vt:lpstr>
      <vt:lpstr>N7_F20</vt:lpstr>
      <vt:lpstr>N7_F21</vt:lpstr>
      <vt:lpstr>N7_FICode</vt:lpstr>
      <vt:lpstr>N7_FIName</vt:lpstr>
      <vt:lpstr>N7_FIType</vt:lpstr>
      <vt:lpstr>N7_FR</vt:lpstr>
      <vt:lpstr>N7_MainTable</vt:lpstr>
      <vt:lpstr>N7_Material</vt:lpstr>
      <vt:lpstr>N7_PremNeg</vt:lpstr>
      <vt:lpstr>N7_PremPos</vt:lpstr>
      <vt:lpstr>N7_Qbuy</vt:lpstr>
      <vt:lpstr>N7_Qlong</vt:lpstr>
      <vt:lpstr>N7_Qsell</vt:lpstr>
      <vt:lpstr>N7_ReportHeader</vt:lpstr>
      <vt:lpstr>N7_SecCode</vt:lpstr>
      <vt:lpstr>N7_TaxRate</vt:lpstr>
      <vt:lpstr>N7_Totals</vt:lpstr>
      <vt:lpstr>N7_TradePlace</vt:lpstr>
      <vt:lpstr>N7_VarNeg</vt:lpstr>
      <vt:lpstr>N7_VarPos</vt:lpstr>
      <vt:lpstr>N8_BaseType</vt:lpstr>
      <vt:lpstr>N8_Client</vt:lpstr>
      <vt:lpstr>N8_Client1</vt:lpstr>
      <vt:lpstr>N8_ClientStatus</vt:lpstr>
      <vt:lpstr>N8_Com</vt:lpstr>
      <vt:lpstr>N8_Contract</vt:lpstr>
      <vt:lpstr>N8_ContractN</vt:lpstr>
      <vt:lpstr>N8_ContractS</vt:lpstr>
      <vt:lpstr>N8_ContractType</vt:lpstr>
      <vt:lpstr>N8_Contragent</vt:lpstr>
      <vt:lpstr>N8_Dbeg</vt:lpstr>
      <vt:lpstr>N8_DealDate</vt:lpstr>
      <vt:lpstr>N8_Dend</vt:lpstr>
      <vt:lpstr>N8_Direction</vt:lpstr>
      <vt:lpstr>N8_ExpirationDate</vt:lpstr>
      <vt:lpstr>N8_ExpirationPriceCur</vt:lpstr>
      <vt:lpstr>N8_F16</vt:lpstr>
      <vt:lpstr>N8_F17</vt:lpstr>
      <vt:lpstr>N8_F18</vt:lpstr>
      <vt:lpstr>N8_F19</vt:lpstr>
      <vt:lpstr>N8_F20</vt:lpstr>
      <vt:lpstr>N8_F21</vt:lpstr>
      <vt:lpstr>N8_F22</vt:lpstr>
      <vt:lpstr>N8_FIType</vt:lpstr>
      <vt:lpstr>N8_FR</vt:lpstr>
      <vt:lpstr>N8_MainTable</vt:lpstr>
      <vt:lpstr>N8_MarketPrice</vt:lpstr>
      <vt:lpstr>N8_Material</vt:lpstr>
      <vt:lpstr>N8_PremNeg</vt:lpstr>
      <vt:lpstr>N8_PremPos</vt:lpstr>
      <vt:lpstr>N8_PriceCurrency</vt:lpstr>
      <vt:lpstr>N8_Q</vt:lpstr>
      <vt:lpstr>N8_ReportHeader</vt:lpstr>
      <vt:lpstr>N8_Totals</vt:lpstr>
      <vt:lpstr>N8_VarNeg</vt:lpstr>
      <vt:lpstr>N8_VarPos</vt:lpstr>
      <vt:lpstr>N9_Client</vt:lpstr>
      <vt:lpstr>N9_Cost</vt:lpstr>
      <vt:lpstr>N9_Dbeg</vt:lpstr>
      <vt:lpstr>N9_Dend</vt:lpstr>
      <vt:lpstr>N9_Discount</vt:lpstr>
      <vt:lpstr>N9_DocNumber</vt:lpstr>
      <vt:lpstr>N9_DOper</vt:lpstr>
      <vt:lpstr>N9_Interest</vt:lpstr>
      <vt:lpstr>N9_MainTable</vt:lpstr>
      <vt:lpstr>N9_NBill</vt:lpstr>
      <vt:lpstr>N9_Repayment</vt:lpstr>
      <vt:lpstr>N9_ReportHeader</vt:lpstr>
      <vt:lpstr>N9_SumNOB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Dubovoy Andrey</dc:creator>
  <cp:lastModifiedBy>Nikonorov Evgeny</cp:lastModifiedBy>
  <dcterms:created xsi:type="dcterms:W3CDTF">2019-01-13T11:59:47Z</dcterms:created>
  <dcterms:modified xsi:type="dcterms:W3CDTF">2025-11-24T13:46:15Z</dcterms:modified>
</cp:coreProperties>
</file>